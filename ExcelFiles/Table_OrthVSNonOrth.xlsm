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62F9E958-00F4-224C-1CEB-3A4BEE276A5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ukas Reuter\Desktop\Terrain guarding\Abgabe\ExcelFiles\"/>
    </mc:Choice>
  </mc:AlternateContent>
  <xr:revisionPtr revIDLastSave="0" documentId="13_ncr:1_{74FA5ADB-1C2E-443D-ABF2-D50782E2070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Main" sheetId="1" r:id="rId1"/>
    <sheet name="DataRBVanilla" sheetId="3" r:id="rId2"/>
    <sheet name="DataFullVisNonOrth" sheetId="4" r:id="rId3"/>
    <sheet name="DataFullVisOrth" sheetId="2" r:id="rId4"/>
  </sheets>
  <definedNames>
    <definedName name="_xlnm._FilterDatabase" localSheetId="2" hidden="1">DataFullVisNonOrth!$A$1:$O$1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5" i="1" l="1"/>
  <c r="G15" i="1"/>
  <c r="F16" i="1"/>
  <c r="G16" i="1"/>
  <c r="F17" i="1"/>
  <c r="G17" i="1"/>
  <c r="F18" i="1"/>
  <c r="G18" i="1"/>
  <c r="F19" i="1"/>
  <c r="G19" i="1"/>
  <c r="F20" i="1"/>
  <c r="G20" i="1"/>
  <c r="E15" i="1"/>
  <c r="E16" i="1"/>
  <c r="E17" i="1"/>
  <c r="E18" i="1"/>
  <c r="E19" i="1"/>
  <c r="E20" i="1"/>
  <c r="C23" i="1"/>
  <c r="D23" i="1"/>
  <c r="C24" i="1"/>
  <c r="D24" i="1"/>
  <c r="C25" i="1"/>
  <c r="D25" i="1"/>
  <c r="C26" i="1"/>
  <c r="D26" i="1"/>
  <c r="C27" i="1"/>
  <c r="D27" i="1"/>
  <c r="C28" i="1"/>
  <c r="D28" i="1"/>
  <c r="B23" i="1"/>
  <c r="B24" i="1"/>
  <c r="B25" i="1"/>
  <c r="B26" i="1"/>
  <c r="B27" i="1"/>
  <c r="B28" i="1"/>
</calcChain>
</file>

<file path=xl/sharedStrings.xml><?xml version="1.0" encoding="utf-8"?>
<sst xmlns="http://schemas.openxmlformats.org/spreadsheetml/2006/main" count="569" uniqueCount="56">
  <si>
    <t>Vis(T)</t>
  </si>
  <si>
    <t>Vis(T*)</t>
  </si>
  <si>
    <t>Mvis(T*)</t>
  </si>
  <si>
    <t>Steep</t>
  </si>
  <si>
    <t>Parabola</t>
  </si>
  <si>
    <t>Walk</t>
  </si>
  <si>
    <t>Concave</t>
  </si>
  <si>
    <t>Sine</t>
  </si>
  <si>
    <t>Avg number of edges</t>
  </si>
  <si>
    <t>Avg number of guards</t>
  </si>
  <si>
    <t>Type</t>
  </si>
  <si>
    <t>Orth/NonOrth</t>
  </si>
  <si>
    <t>Noise Level</t>
  </si>
  <si>
    <t>Noise Prob</t>
  </si>
  <si>
    <t>Crooked?</t>
  </si>
  <si>
    <t>Vertex Number</t>
  </si>
  <si>
    <t>Total Time VisGraph</t>
  </si>
  <si>
    <t>Total Time Gurobi</t>
  </si>
  <si>
    <t>Total Num Guards</t>
  </si>
  <si>
    <t>Total Number edges</t>
  </si>
  <si>
    <t>Number Samples</t>
  </si>
  <si>
    <t>Avg Time Vis</t>
  </si>
  <si>
    <t>Avg Time Gurobi</t>
  </si>
  <si>
    <t>Avg Num Guards</t>
  </si>
  <si>
    <t>Avg Num Edges</t>
  </si>
  <si>
    <t>ValleyQuad</t>
  </si>
  <si>
    <t>Orthogonal</t>
  </si>
  <si>
    <t>NoiseMultiplier10</t>
  </si>
  <si>
    <t>Noise0</t>
  </si>
  <si>
    <t>Crooked</t>
  </si>
  <si>
    <t>Noise10</t>
  </si>
  <si>
    <t>Noise20</t>
  </si>
  <si>
    <t>Noise30</t>
  </si>
  <si>
    <t>Noise40</t>
  </si>
  <si>
    <t>Noise50</t>
  </si>
  <si>
    <t>ValleyLin</t>
  </si>
  <si>
    <t>ValleySteep</t>
  </si>
  <si>
    <t>LowNoise</t>
  </si>
  <si>
    <t>GlobalValleyLin</t>
  </si>
  <si>
    <t>GlobalValleySteep</t>
  </si>
  <si>
    <t>GlobalValleyQuad</t>
  </si>
  <si>
    <t>MultiplierNoise10</t>
  </si>
  <si>
    <t>PlanckFiles_walk</t>
  </si>
  <si>
    <t>PlanckFiles_concavevalleys</t>
  </si>
  <si>
    <t>PlanckFiles_sine</t>
  </si>
  <si>
    <t>PlanckFiles_parabola</t>
  </si>
  <si>
    <t>Lin</t>
  </si>
  <si>
    <t>Quad</t>
  </si>
  <si>
    <t>NonOrthogonal</t>
  </si>
  <si>
    <t>TerrainType/graph</t>
  </si>
  <si>
    <t>Avg computing visibility graph (ms)</t>
  </si>
  <si>
    <t>Avg solving DS/RBDS (ms)</t>
  </si>
  <si>
    <t>Time to compute (s)</t>
  </si>
  <si>
    <t>Solving DS/RBDS (s)</t>
  </si>
  <si>
    <t>Number of guards</t>
  </si>
  <si>
    <t>Number of edges (*10^3)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</si>
</sst>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0" fillId="0" borderId="0" xfId="0" applyAlignment="1">
      <alignment wrapText="1"/>
    </xf>
    <xf numFmtId="2" fontId="0" fillId="0" borderId="0" xfId="0" applyNumberFormat="1"/>
    <xf numFmtId="164" fontId="0" fillId="0" borderId="0" xfId="0" applyNumberFormat="1"/>
    <xf numFmtId="1" fontId="0" fillId="0" borderId="0" xfId="0" applyNumberFormat="1"/>
    <xf numFmtId="0" fontId="0" fillId="0" borderId="1" xfId="0" applyBorder="1"/>
    <xf numFmtId="0" fontId="0" fillId="0" borderId="2" xfId="0" applyBorder="1" applyAlignment="1">
      <alignment wrapText="1"/>
    </xf>
    <xf numFmtId="0" fontId="0" fillId="0" borderId="3" xfId="0" applyBorder="1"/>
    <xf numFmtId="0" fontId="0" fillId="0" borderId="2" xfId="0" applyBorder="1"/>
    <xf numFmtId="0" fontId="0" fillId="0" borderId="6" xfId="0" applyBorder="1"/>
    <xf numFmtId="0" fontId="0" fillId="0" borderId="7" xfId="0" applyBorder="1"/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" xfId="0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28"/>
  <sheetViews>
    <sheetView tabSelected="1" workbookViewId="0">
      <selection activeCell="D26" sqref="D26"/>
    </sheetView>
  </sheetViews>
  <sheetFormatPr defaultRowHeight="14.4" x14ac:dyDescent="0.3"/>
  <cols>
    <col min="1" max="1" width="18.44140625" customWidth="1"/>
    <col min="2" max="2" width="9" bestFit="1" customWidth="1"/>
    <col min="3" max="3" width="9.88671875" customWidth="1"/>
    <col min="4" max="4" width="11" customWidth="1"/>
    <col min="5" max="5" width="10.21875" customWidth="1"/>
    <col min="6" max="7" width="10.44140625" bestFit="1" customWidth="1"/>
    <col min="8" max="9" width="9" bestFit="1" customWidth="1"/>
    <col min="10" max="10" width="9.33203125" customWidth="1"/>
    <col min="11" max="11" width="9" bestFit="1" customWidth="1"/>
    <col min="12" max="12" width="10.88671875" customWidth="1"/>
  </cols>
  <sheetData>
    <row r="1" spans="1:20" ht="46.8" customHeight="1" x14ac:dyDescent="0.3">
      <c r="A1" s="1"/>
      <c r="B1" s="11" t="s">
        <v>50</v>
      </c>
      <c r="C1" s="11"/>
      <c r="D1" s="11"/>
      <c r="E1" s="11" t="s">
        <v>8</v>
      </c>
      <c r="F1" s="11"/>
      <c r="G1" s="11"/>
      <c r="H1" s="11" t="s">
        <v>51</v>
      </c>
      <c r="I1" s="11"/>
      <c r="J1" s="11"/>
      <c r="K1" s="11" t="s">
        <v>9</v>
      </c>
      <c r="L1" s="11"/>
      <c r="P1" s="1"/>
    </row>
    <row r="2" spans="1:20" x14ac:dyDescent="0.3">
      <c r="A2" t="s">
        <v>49</v>
      </c>
      <c r="B2" t="s">
        <v>0</v>
      </c>
      <c r="C2" t="s">
        <v>1</v>
      </c>
      <c r="D2" t="s">
        <v>2</v>
      </c>
      <c r="E2" t="s">
        <v>0</v>
      </c>
      <c r="F2" t="s">
        <v>1</v>
      </c>
      <c r="G2" t="s">
        <v>2</v>
      </c>
      <c r="H2" t="s">
        <v>0</v>
      </c>
      <c r="I2" t="s">
        <v>1</v>
      </c>
      <c r="J2" t="s">
        <v>2</v>
      </c>
      <c r="K2" t="s">
        <v>0</v>
      </c>
      <c r="L2" t="s">
        <v>1</v>
      </c>
    </row>
    <row r="3" spans="1:20" x14ac:dyDescent="0.3">
      <c r="A3" t="s">
        <v>46</v>
      </c>
      <c r="B3" s="3">
        <v>8342</v>
      </c>
      <c r="C3" s="3">
        <v>20026.304166666665</v>
      </c>
      <c r="D3" s="3">
        <v>12252.320833333333</v>
      </c>
      <c r="E3" s="3">
        <v>12768833.154166663</v>
      </c>
      <c r="F3" s="3">
        <v>25570330.120833337</v>
      </c>
      <c r="G3" s="3">
        <v>12420388.675000003</v>
      </c>
      <c r="H3" s="3">
        <v>212452.36666666661</v>
      </c>
      <c r="I3" s="3">
        <v>87623.641666666663</v>
      </c>
      <c r="J3" s="3">
        <v>14557.266119309417</v>
      </c>
      <c r="K3" s="3">
        <v>513.59166666666681</v>
      </c>
      <c r="L3" s="3">
        <v>877.38333333333333</v>
      </c>
    </row>
    <row r="4" spans="1:20" x14ac:dyDescent="0.3">
      <c r="A4" t="s">
        <v>47</v>
      </c>
      <c r="B4" s="3">
        <v>10558.841666666665</v>
      </c>
      <c r="C4" s="3">
        <v>18610.528070175442</v>
      </c>
      <c r="D4" s="3">
        <v>8944.3625000000011</v>
      </c>
      <c r="E4" s="3">
        <v>16011857.404166667</v>
      </c>
      <c r="F4" s="3">
        <v>23046758.323464911</v>
      </c>
      <c r="G4" s="3">
        <v>8516131.8833333347</v>
      </c>
      <c r="H4" s="3">
        <v>58672.433333333342</v>
      </c>
      <c r="I4" s="3">
        <v>249115.11907894735</v>
      </c>
      <c r="J4" s="3">
        <v>9831.6940224729969</v>
      </c>
      <c r="K4" s="3">
        <v>742.8416666666667</v>
      </c>
      <c r="L4" s="3">
        <v>1369.8927631578947</v>
      </c>
    </row>
    <row r="5" spans="1:20" x14ac:dyDescent="0.3">
      <c r="A5" t="s">
        <v>3</v>
      </c>
      <c r="B5" s="3">
        <v>6821.5166666666673</v>
      </c>
      <c r="C5" s="3">
        <v>14715.916666666666</v>
      </c>
      <c r="D5" s="3">
        <v>8548.2791666666653</v>
      </c>
      <c r="E5" s="3">
        <v>10474693.958333334</v>
      </c>
      <c r="F5" s="3">
        <v>19328609.766666662</v>
      </c>
      <c r="G5" s="3">
        <v>8941296.070833331</v>
      </c>
      <c r="H5" s="3">
        <v>57820.037500000006</v>
      </c>
      <c r="I5" s="3">
        <v>115233.20416666665</v>
      </c>
      <c r="J5" s="3">
        <v>23378.540690104168</v>
      </c>
      <c r="K5" s="3">
        <v>427.92083333333329</v>
      </c>
      <c r="L5" s="3">
        <v>1192.0875000000001</v>
      </c>
    </row>
    <row r="6" spans="1:20" x14ac:dyDescent="0.3">
      <c r="A6" t="s">
        <v>4</v>
      </c>
      <c r="B6" s="3">
        <v>718.8</v>
      </c>
      <c r="C6" s="3">
        <v>2347.1999999999998</v>
      </c>
      <c r="D6" s="3">
        <v>1769</v>
      </c>
      <c r="E6" s="3">
        <v>931552.7</v>
      </c>
      <c r="F6" s="3">
        <v>1783919.1</v>
      </c>
      <c r="G6" s="3">
        <v>497175.1</v>
      </c>
      <c r="H6" s="3">
        <v>2349.5</v>
      </c>
      <c r="I6" s="3">
        <v>5895.1</v>
      </c>
      <c r="J6" s="3">
        <v>2916.2</v>
      </c>
      <c r="K6" s="3">
        <v>1498.9</v>
      </c>
      <c r="L6" s="3">
        <v>2621.6</v>
      </c>
    </row>
    <row r="7" spans="1:20" x14ac:dyDescent="0.3">
      <c r="A7" t="s">
        <v>5</v>
      </c>
      <c r="B7" s="3">
        <v>293.25</v>
      </c>
      <c r="C7" s="3">
        <v>1598</v>
      </c>
      <c r="D7" s="3">
        <v>1349.6</v>
      </c>
      <c r="E7" s="3">
        <v>89575.9</v>
      </c>
      <c r="F7" s="3">
        <v>173757.85</v>
      </c>
      <c r="G7" s="3">
        <v>58460.35</v>
      </c>
      <c r="H7" s="3">
        <v>333.2</v>
      </c>
      <c r="I7" s="3">
        <v>754.95</v>
      </c>
      <c r="J7" s="3">
        <v>1089.1333333333332</v>
      </c>
      <c r="K7" s="3">
        <v>1517.4</v>
      </c>
      <c r="L7" s="3">
        <v>2722.1</v>
      </c>
    </row>
    <row r="8" spans="1:20" x14ac:dyDescent="0.3">
      <c r="A8" t="s">
        <v>6</v>
      </c>
      <c r="B8" s="3">
        <v>307.64999999999998</v>
      </c>
      <c r="C8" s="3">
        <v>1682.1</v>
      </c>
      <c r="D8" s="3">
        <v>1492</v>
      </c>
      <c r="E8" s="3">
        <v>124658.2</v>
      </c>
      <c r="F8" s="3">
        <v>226006.05</v>
      </c>
      <c r="G8" s="3">
        <v>104295.35</v>
      </c>
      <c r="H8" s="3">
        <v>1629.5</v>
      </c>
      <c r="I8" s="3">
        <v>1684.2</v>
      </c>
      <c r="J8" s="3">
        <v>2270.6</v>
      </c>
      <c r="K8" s="3">
        <v>564.79999999999995</v>
      </c>
      <c r="L8" s="3">
        <v>1100.6500000000001</v>
      </c>
    </row>
    <row r="9" spans="1:20" x14ac:dyDescent="0.3">
      <c r="A9" t="s">
        <v>7</v>
      </c>
      <c r="B9" s="3">
        <v>405.9</v>
      </c>
      <c r="C9" s="3">
        <v>1823.25</v>
      </c>
      <c r="D9" s="3">
        <v>1410.9</v>
      </c>
      <c r="E9" s="3">
        <v>533973.4</v>
      </c>
      <c r="F9" s="3">
        <v>996593.95</v>
      </c>
      <c r="G9" s="3">
        <v>309225.40000000002</v>
      </c>
      <c r="H9" s="3">
        <v>1427.25</v>
      </c>
      <c r="I9" s="3">
        <v>2991.65</v>
      </c>
      <c r="J9" s="3">
        <v>2373.8000000000002</v>
      </c>
      <c r="K9" s="3">
        <v>1447.35</v>
      </c>
      <c r="L9" s="3">
        <v>2602.1</v>
      </c>
    </row>
    <row r="13" spans="1:20" x14ac:dyDescent="0.3">
      <c r="A13" s="6"/>
      <c r="B13" s="11" t="s">
        <v>52</v>
      </c>
      <c r="C13" s="11"/>
      <c r="D13" s="11"/>
      <c r="E13" s="11" t="s">
        <v>55</v>
      </c>
      <c r="F13" s="11"/>
      <c r="G13" s="11"/>
      <c r="H13" s="11"/>
      <c r="I13" s="11"/>
      <c r="J13" s="11"/>
      <c r="K13" s="11"/>
      <c r="L13" s="11"/>
      <c r="N13" s="1"/>
    </row>
    <row r="14" spans="1:20" x14ac:dyDescent="0.3">
      <c r="A14" s="7"/>
      <c r="B14" s="5" t="s">
        <v>0</v>
      </c>
      <c r="C14" s="5" t="s">
        <v>1</v>
      </c>
      <c r="D14" s="5" t="s">
        <v>2</v>
      </c>
      <c r="E14" s="5" t="s">
        <v>0</v>
      </c>
      <c r="F14" s="5" t="s">
        <v>1</v>
      </c>
      <c r="G14" s="5" t="s">
        <v>2</v>
      </c>
    </row>
    <row r="15" spans="1:20" x14ac:dyDescent="0.3">
      <c r="A15" s="8" t="s">
        <v>47</v>
      </c>
      <c r="B15" s="3">
        <v>10.558841666666666</v>
      </c>
      <c r="C15" s="3">
        <v>18.610528070175441</v>
      </c>
      <c r="D15" s="3">
        <v>8.9443625000000004</v>
      </c>
      <c r="E15" s="4">
        <f t="shared" ref="E15:E20" si="0">E4/1000</f>
        <v>16011.857404166667</v>
      </c>
      <c r="F15" s="4">
        <f t="shared" ref="F15:G15" si="1">F4/1000</f>
        <v>23046.75832346491</v>
      </c>
      <c r="G15" s="4">
        <f t="shared" si="1"/>
        <v>8516.1318833333353</v>
      </c>
      <c r="H15" s="3"/>
      <c r="I15" s="3"/>
      <c r="J15" s="3"/>
      <c r="K15" s="4"/>
      <c r="L15" s="4"/>
      <c r="O15" s="3"/>
      <c r="P15" s="3"/>
      <c r="Q15" s="3"/>
      <c r="R15" s="4"/>
      <c r="S15" s="4"/>
      <c r="T15" s="4"/>
    </row>
    <row r="16" spans="1:20" x14ac:dyDescent="0.3">
      <c r="A16" s="8" t="s">
        <v>3</v>
      </c>
      <c r="B16" s="3">
        <v>6.8215166666666676</v>
      </c>
      <c r="C16" s="3">
        <v>14.715916666666667</v>
      </c>
      <c r="D16" s="3">
        <v>8.5482791666666653</v>
      </c>
      <c r="E16" s="4">
        <f t="shared" si="0"/>
        <v>10474.693958333333</v>
      </c>
      <c r="F16" s="4">
        <f t="shared" ref="F16:G16" si="2">F5/1000</f>
        <v>19328.609766666661</v>
      </c>
      <c r="G16" s="4">
        <f t="shared" si="2"/>
        <v>8941.2960708333303</v>
      </c>
      <c r="H16" s="3"/>
      <c r="I16" s="3"/>
      <c r="J16" s="3"/>
      <c r="K16" s="4"/>
      <c r="L16" s="4"/>
      <c r="O16" s="3"/>
      <c r="P16" s="3"/>
      <c r="Q16" s="3"/>
      <c r="R16" s="4"/>
      <c r="S16" s="4"/>
      <c r="T16" s="4"/>
    </row>
    <row r="17" spans="1:20" x14ac:dyDescent="0.3">
      <c r="A17" s="8" t="s">
        <v>4</v>
      </c>
      <c r="B17" s="3">
        <v>0.71879999999999999</v>
      </c>
      <c r="C17" s="3">
        <v>2.3472</v>
      </c>
      <c r="D17" s="3">
        <v>1.7689999999999999</v>
      </c>
      <c r="E17" s="4">
        <f t="shared" si="0"/>
        <v>931.55269999999996</v>
      </c>
      <c r="F17" s="4">
        <f t="shared" ref="F17:G17" si="3">F6/1000</f>
        <v>1783.9191000000001</v>
      </c>
      <c r="G17" s="4">
        <f t="shared" si="3"/>
        <v>497.17509999999999</v>
      </c>
      <c r="H17" s="3"/>
      <c r="I17" s="3"/>
      <c r="J17" s="3"/>
      <c r="K17" s="4"/>
      <c r="L17" s="4"/>
      <c r="O17" s="3"/>
      <c r="P17" s="3"/>
      <c r="Q17" s="3"/>
      <c r="R17" s="4"/>
      <c r="S17" s="4"/>
      <c r="T17" s="4"/>
    </row>
    <row r="18" spans="1:20" x14ac:dyDescent="0.3">
      <c r="A18" s="8" t="s">
        <v>5</v>
      </c>
      <c r="B18" s="3">
        <v>0.29325000000000001</v>
      </c>
      <c r="C18" s="3">
        <v>1.5980000000000001</v>
      </c>
      <c r="D18" s="3">
        <v>1.3495999999999999</v>
      </c>
      <c r="E18" s="4">
        <f t="shared" si="0"/>
        <v>89.57589999999999</v>
      </c>
      <c r="F18" s="4">
        <f t="shared" ref="F18:G18" si="4">F7/1000</f>
        <v>173.75785000000002</v>
      </c>
      <c r="G18" s="4">
        <f t="shared" si="4"/>
        <v>58.460349999999998</v>
      </c>
      <c r="H18" s="3"/>
      <c r="I18" s="3"/>
      <c r="J18" s="3"/>
      <c r="K18" s="4"/>
      <c r="L18" s="4"/>
      <c r="O18" s="3"/>
      <c r="P18" s="3"/>
      <c r="Q18" s="3"/>
      <c r="R18" s="4"/>
      <c r="S18" s="4"/>
      <c r="T18" s="4"/>
    </row>
    <row r="19" spans="1:20" x14ac:dyDescent="0.3">
      <c r="A19" s="8" t="s">
        <v>6</v>
      </c>
      <c r="B19" s="3">
        <v>0.30764999999999998</v>
      </c>
      <c r="C19" s="3">
        <v>1.6820999999999999</v>
      </c>
      <c r="D19" s="3">
        <v>1.492</v>
      </c>
      <c r="E19" s="4">
        <f t="shared" si="0"/>
        <v>124.65819999999999</v>
      </c>
      <c r="F19" s="4">
        <f t="shared" ref="F19:G19" si="5">F8/1000</f>
        <v>226.00604999999999</v>
      </c>
      <c r="G19" s="4">
        <f t="shared" si="5"/>
        <v>104.29535</v>
      </c>
      <c r="H19" s="3"/>
      <c r="I19" s="3"/>
      <c r="J19" s="3"/>
      <c r="K19" s="4"/>
      <c r="L19" s="4"/>
      <c r="O19" s="3"/>
      <c r="P19" s="3"/>
      <c r="Q19" s="3"/>
      <c r="R19" s="4"/>
      <c r="S19" s="4"/>
      <c r="T19" s="4"/>
    </row>
    <row r="20" spans="1:20" x14ac:dyDescent="0.3">
      <c r="A20" s="8" t="s">
        <v>7</v>
      </c>
      <c r="B20" s="3">
        <v>0.40589999999999998</v>
      </c>
      <c r="C20" s="3">
        <v>1.82325</v>
      </c>
      <c r="D20" s="3">
        <v>1.4109</v>
      </c>
      <c r="E20" s="4">
        <f t="shared" si="0"/>
        <v>533.97339999999997</v>
      </c>
      <c r="F20" s="4">
        <f t="shared" ref="F20:G20" si="6">F9/1000</f>
        <v>996.59394999999995</v>
      </c>
      <c r="G20" s="4">
        <f t="shared" si="6"/>
        <v>309.22540000000004</v>
      </c>
      <c r="H20" s="3"/>
      <c r="I20" s="3"/>
      <c r="J20" s="3"/>
      <c r="K20" s="4"/>
      <c r="L20" s="4"/>
      <c r="O20" s="3"/>
      <c r="P20" s="3"/>
      <c r="Q20" s="3"/>
      <c r="R20" s="4"/>
      <c r="S20" s="4"/>
      <c r="T20" s="4"/>
    </row>
    <row r="21" spans="1:20" x14ac:dyDescent="0.3">
      <c r="A21" s="10"/>
      <c r="B21" s="13" t="s">
        <v>53</v>
      </c>
      <c r="C21" s="14"/>
      <c r="D21" s="14"/>
      <c r="E21" s="14" t="s">
        <v>54</v>
      </c>
      <c r="F21" s="14"/>
      <c r="G21" s="14"/>
    </row>
    <row r="22" spans="1:20" x14ac:dyDescent="0.3">
      <c r="A22" s="7"/>
      <c r="B22" s="9" t="s">
        <v>0</v>
      </c>
      <c r="C22" s="5" t="s">
        <v>1</v>
      </c>
      <c r="D22" s="5" t="s">
        <v>2</v>
      </c>
      <c r="E22" s="5" t="s">
        <v>0</v>
      </c>
      <c r="F22" s="15" t="s">
        <v>1</v>
      </c>
      <c r="G22" s="15"/>
    </row>
    <row r="23" spans="1:20" x14ac:dyDescent="0.3">
      <c r="A23" s="8" t="s">
        <v>47</v>
      </c>
      <c r="B23" s="3">
        <f t="shared" ref="B23:B28" si="7">H4/1000</f>
        <v>58.672433333333345</v>
      </c>
      <c r="C23" s="3">
        <f t="shared" ref="C23:D28" si="8">I4/1000</f>
        <v>249.11511907894734</v>
      </c>
      <c r="D23" s="3">
        <f t="shared" si="8"/>
        <v>9.8316940224729965</v>
      </c>
      <c r="E23" s="4">
        <v>742.8416666666667</v>
      </c>
      <c r="F23" s="12">
        <v>1369.8927631578947</v>
      </c>
      <c r="G23" s="12"/>
      <c r="O23" s="3"/>
      <c r="P23" s="3"/>
      <c r="Q23" s="3"/>
      <c r="R23" s="4"/>
      <c r="S23" s="4"/>
      <c r="T23" s="4"/>
    </row>
    <row r="24" spans="1:20" x14ac:dyDescent="0.3">
      <c r="A24" s="8" t="s">
        <v>3</v>
      </c>
      <c r="B24" s="3">
        <f t="shared" si="7"/>
        <v>57.820037500000005</v>
      </c>
      <c r="C24" s="3">
        <f t="shared" si="8"/>
        <v>115.23320416666665</v>
      </c>
      <c r="D24" s="3">
        <f t="shared" si="8"/>
        <v>23.378540690104167</v>
      </c>
      <c r="E24" s="4">
        <v>427.92083333333329</v>
      </c>
      <c r="F24" s="12">
        <v>1192.0875000000001</v>
      </c>
      <c r="G24" s="12"/>
      <c r="O24" s="3"/>
      <c r="P24" s="3"/>
      <c r="Q24" s="3"/>
      <c r="R24" s="4"/>
      <c r="S24" s="4"/>
      <c r="T24" s="4"/>
    </row>
    <row r="25" spans="1:20" x14ac:dyDescent="0.3">
      <c r="A25" s="8" t="s">
        <v>4</v>
      </c>
      <c r="B25" s="3">
        <f t="shared" si="7"/>
        <v>2.3494999999999999</v>
      </c>
      <c r="C25" s="3">
        <f t="shared" si="8"/>
        <v>5.8951000000000002</v>
      </c>
      <c r="D25" s="3">
        <f t="shared" si="8"/>
        <v>2.9161999999999999</v>
      </c>
      <c r="E25" s="4">
        <v>1498.9</v>
      </c>
      <c r="F25" s="12">
        <v>2621.6</v>
      </c>
      <c r="G25" s="12"/>
      <c r="O25" s="3"/>
      <c r="P25" s="3"/>
      <c r="Q25" s="3"/>
      <c r="R25" s="4"/>
      <c r="S25" s="4"/>
      <c r="T25" s="4"/>
    </row>
    <row r="26" spans="1:20" x14ac:dyDescent="0.3">
      <c r="A26" s="8" t="s">
        <v>5</v>
      </c>
      <c r="B26" s="3">
        <f t="shared" si="7"/>
        <v>0.3332</v>
      </c>
      <c r="C26" s="3">
        <f t="shared" si="8"/>
        <v>0.75495000000000001</v>
      </c>
      <c r="D26" s="3">
        <f t="shared" si="8"/>
        <v>1.0891333333333333</v>
      </c>
      <c r="E26" s="4">
        <v>1517.4</v>
      </c>
      <c r="F26" s="12">
        <v>2722.1</v>
      </c>
      <c r="G26" s="12"/>
      <c r="O26" s="3"/>
      <c r="P26" s="3"/>
      <c r="Q26" s="3"/>
      <c r="R26" s="4"/>
      <c r="S26" s="4"/>
      <c r="T26" s="4"/>
    </row>
    <row r="27" spans="1:20" x14ac:dyDescent="0.3">
      <c r="A27" s="8" t="s">
        <v>6</v>
      </c>
      <c r="B27" s="3">
        <f t="shared" si="7"/>
        <v>1.6294999999999999</v>
      </c>
      <c r="C27" s="3">
        <f t="shared" si="8"/>
        <v>1.6842000000000001</v>
      </c>
      <c r="D27" s="3">
        <f t="shared" si="8"/>
        <v>2.2706</v>
      </c>
      <c r="E27" s="4">
        <v>564.79999999999995</v>
      </c>
      <c r="F27" s="12">
        <v>1100.6500000000001</v>
      </c>
      <c r="G27" s="12"/>
      <c r="O27" s="3"/>
      <c r="P27" s="3"/>
      <c r="Q27" s="3"/>
      <c r="R27" s="4"/>
      <c r="S27" s="4"/>
      <c r="T27" s="4"/>
    </row>
    <row r="28" spans="1:20" x14ac:dyDescent="0.3">
      <c r="A28" s="8" t="s">
        <v>7</v>
      </c>
      <c r="B28" s="3">
        <f t="shared" si="7"/>
        <v>1.4272499999999999</v>
      </c>
      <c r="C28" s="3">
        <f t="shared" si="8"/>
        <v>2.9916499999999999</v>
      </c>
      <c r="D28" s="3">
        <f t="shared" si="8"/>
        <v>2.3738000000000001</v>
      </c>
      <c r="E28" s="4">
        <v>1447.35</v>
      </c>
      <c r="F28" s="12">
        <v>2602.1</v>
      </c>
      <c r="G28" s="12"/>
      <c r="O28" s="3"/>
      <c r="P28" s="3"/>
      <c r="Q28" s="3"/>
      <c r="R28" s="4"/>
      <c r="S28" s="4"/>
      <c r="T28" s="4"/>
    </row>
  </sheetData>
  <mergeCells count="17">
    <mergeCell ref="B21:D21"/>
    <mergeCell ref="E21:G21"/>
    <mergeCell ref="F22:G22"/>
    <mergeCell ref="F23:G23"/>
    <mergeCell ref="F24:G24"/>
    <mergeCell ref="F25:G25"/>
    <mergeCell ref="F26:G26"/>
    <mergeCell ref="F27:G27"/>
    <mergeCell ref="F28:G28"/>
    <mergeCell ref="B1:D1"/>
    <mergeCell ref="E1:G1"/>
    <mergeCell ref="H1:J1"/>
    <mergeCell ref="K1:L1"/>
    <mergeCell ref="B13:D13"/>
    <mergeCell ref="E13:G13"/>
    <mergeCell ref="H13:J13"/>
    <mergeCell ref="K13:L13"/>
  </mergeCells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54FE08-D5F0-4858-A4D6-83A1A241D316}">
  <sheetPr codeName="Sheet3"/>
  <dimension ref="A1:O41"/>
  <sheetViews>
    <sheetView topLeftCell="C16" workbookViewId="0">
      <selection activeCell="E37" sqref="E37"/>
    </sheetView>
  </sheetViews>
  <sheetFormatPr defaultRowHeight="14.4" x14ac:dyDescent="0.3"/>
  <cols>
    <col min="1" max="1" width="39.44140625" customWidth="1"/>
    <col min="2" max="2" width="34.5546875" customWidth="1"/>
    <col min="3" max="3" width="32.5546875" customWidth="1"/>
    <col min="4" max="4" width="19.44140625" customWidth="1"/>
    <col min="6" max="6" width="16.6640625" customWidth="1"/>
    <col min="7" max="7" width="28.6640625" hidden="1" customWidth="1"/>
    <col min="8" max="8" width="31.33203125" hidden="1" customWidth="1"/>
    <col min="9" max="9" width="25.21875" hidden="1" customWidth="1"/>
    <col min="10" max="11" width="18.77734375" hidden="1" customWidth="1"/>
    <col min="12" max="13" width="17.109375" customWidth="1"/>
    <col min="14" max="14" width="17" customWidth="1"/>
    <col min="15" max="15" width="16.77734375" customWidth="1"/>
  </cols>
  <sheetData>
    <row r="1" spans="1:1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</row>
    <row r="2" spans="1:15" x14ac:dyDescent="0.3">
      <c r="A2" t="s">
        <v>25</v>
      </c>
      <c r="B2" t="s">
        <v>26</v>
      </c>
      <c r="C2" t="s">
        <v>27</v>
      </c>
      <c r="D2" t="s">
        <v>28</v>
      </c>
      <c r="E2" t="s">
        <v>29</v>
      </c>
      <c r="F2">
        <v>20000</v>
      </c>
      <c r="G2">
        <v>438316</v>
      </c>
      <c r="H2">
        <v>441109</v>
      </c>
      <c r="I2">
        <v>549</v>
      </c>
      <c r="J2">
        <v>468558837</v>
      </c>
      <c r="K2">
        <v>20</v>
      </c>
      <c r="L2">
        <v>21915.8</v>
      </c>
      <c r="M2">
        <v>22055.45</v>
      </c>
      <c r="N2">
        <v>27.45</v>
      </c>
      <c r="O2">
        <v>23427941.850000001</v>
      </c>
    </row>
    <row r="3" spans="1:15" x14ac:dyDescent="0.3">
      <c r="A3" t="s">
        <v>25</v>
      </c>
      <c r="B3" t="s">
        <v>26</v>
      </c>
      <c r="C3" t="s">
        <v>27</v>
      </c>
      <c r="D3" t="s">
        <v>30</v>
      </c>
      <c r="E3" t="s">
        <v>29</v>
      </c>
      <c r="F3">
        <v>20000</v>
      </c>
      <c r="G3">
        <v>268980</v>
      </c>
      <c r="H3">
        <v>271199</v>
      </c>
      <c r="I3">
        <v>14333</v>
      </c>
      <c r="J3">
        <v>257644776</v>
      </c>
      <c r="K3">
        <v>20</v>
      </c>
      <c r="L3">
        <v>13449</v>
      </c>
      <c r="M3">
        <v>13559.95</v>
      </c>
      <c r="N3">
        <v>716.65</v>
      </c>
      <c r="O3">
        <v>12882238.800000001</v>
      </c>
    </row>
    <row r="4" spans="1:15" x14ac:dyDescent="0.3">
      <c r="A4" t="s">
        <v>25</v>
      </c>
      <c r="B4" t="s">
        <v>26</v>
      </c>
      <c r="C4" t="s">
        <v>27</v>
      </c>
      <c r="D4" t="s">
        <v>31</v>
      </c>
      <c r="E4" t="s">
        <v>29</v>
      </c>
      <c r="F4">
        <v>20000</v>
      </c>
      <c r="G4">
        <v>140200</v>
      </c>
      <c r="H4">
        <v>175194</v>
      </c>
      <c r="I4">
        <v>26269</v>
      </c>
      <c r="J4">
        <v>134592499</v>
      </c>
      <c r="K4">
        <v>20</v>
      </c>
      <c r="L4">
        <v>7010</v>
      </c>
      <c r="M4">
        <v>8759.7000000000007</v>
      </c>
      <c r="N4">
        <v>1313.45</v>
      </c>
      <c r="O4">
        <v>6729624.9500000002</v>
      </c>
    </row>
    <row r="5" spans="1:15" x14ac:dyDescent="0.3">
      <c r="A5" t="s">
        <v>25</v>
      </c>
      <c r="B5" t="s">
        <v>26</v>
      </c>
      <c r="C5" t="s">
        <v>27</v>
      </c>
      <c r="D5" t="s">
        <v>32</v>
      </c>
      <c r="E5" t="s">
        <v>29</v>
      </c>
      <c r="F5">
        <v>20000</v>
      </c>
      <c r="G5">
        <v>91572</v>
      </c>
      <c r="H5">
        <v>103963</v>
      </c>
      <c r="I5">
        <v>35046</v>
      </c>
      <c r="J5">
        <v>78365713</v>
      </c>
      <c r="K5">
        <v>20</v>
      </c>
      <c r="L5">
        <v>4578.6000000000004</v>
      </c>
      <c r="M5">
        <v>5198.1499999999996</v>
      </c>
      <c r="N5">
        <v>1752.3</v>
      </c>
      <c r="O5">
        <v>3918285.65</v>
      </c>
    </row>
    <row r="6" spans="1:15" x14ac:dyDescent="0.3">
      <c r="A6" t="s">
        <v>25</v>
      </c>
      <c r="B6" t="s">
        <v>26</v>
      </c>
      <c r="C6" t="s">
        <v>27</v>
      </c>
      <c r="D6" t="s">
        <v>33</v>
      </c>
      <c r="E6" t="s">
        <v>29</v>
      </c>
      <c r="F6">
        <v>20000</v>
      </c>
      <c r="G6">
        <v>64714</v>
      </c>
      <c r="H6">
        <v>60986</v>
      </c>
      <c r="I6">
        <v>42155</v>
      </c>
      <c r="J6">
        <v>47182609</v>
      </c>
      <c r="K6">
        <v>20</v>
      </c>
      <c r="L6">
        <v>3235.7</v>
      </c>
      <c r="M6">
        <v>3049.3</v>
      </c>
      <c r="N6">
        <v>2107.75</v>
      </c>
      <c r="O6">
        <v>2359130.4500000002</v>
      </c>
    </row>
    <row r="7" spans="1:15" x14ac:dyDescent="0.3">
      <c r="A7" t="s">
        <v>25</v>
      </c>
      <c r="B7" t="s">
        <v>26</v>
      </c>
      <c r="C7" t="s">
        <v>27</v>
      </c>
      <c r="D7" t="s">
        <v>34</v>
      </c>
      <c r="E7" t="s">
        <v>29</v>
      </c>
      <c r="F7">
        <v>20000</v>
      </c>
      <c r="G7">
        <v>50679</v>
      </c>
      <c r="H7">
        <v>41667</v>
      </c>
      <c r="I7">
        <v>46902</v>
      </c>
      <c r="J7">
        <v>31083107</v>
      </c>
      <c r="K7">
        <v>20</v>
      </c>
      <c r="L7">
        <v>2533.9499999999998</v>
      </c>
      <c r="M7">
        <v>2083.35</v>
      </c>
      <c r="N7">
        <v>2345.1</v>
      </c>
      <c r="O7">
        <v>1554155.35</v>
      </c>
    </row>
    <row r="8" spans="1:15" x14ac:dyDescent="0.3">
      <c r="A8" t="s">
        <v>35</v>
      </c>
      <c r="B8" t="s">
        <v>26</v>
      </c>
      <c r="D8" t="s">
        <v>28</v>
      </c>
      <c r="E8" t="s">
        <v>29</v>
      </c>
      <c r="F8">
        <v>20000</v>
      </c>
      <c r="G8">
        <v>364815</v>
      </c>
      <c r="H8">
        <v>379350</v>
      </c>
      <c r="I8">
        <v>531</v>
      </c>
      <c r="J8">
        <v>367182242</v>
      </c>
      <c r="K8">
        <v>20</v>
      </c>
      <c r="L8">
        <v>18240.75</v>
      </c>
      <c r="M8">
        <v>18967.5</v>
      </c>
      <c r="N8">
        <v>26.55</v>
      </c>
      <c r="O8">
        <v>18359112.100000001</v>
      </c>
    </row>
    <row r="9" spans="1:15" x14ac:dyDescent="0.3">
      <c r="A9" t="s">
        <v>35</v>
      </c>
      <c r="B9" t="s">
        <v>26</v>
      </c>
      <c r="D9" t="s">
        <v>30</v>
      </c>
      <c r="E9" t="s">
        <v>29</v>
      </c>
      <c r="F9">
        <v>20000</v>
      </c>
      <c r="G9">
        <v>236330</v>
      </c>
      <c r="H9">
        <v>250000</v>
      </c>
      <c r="I9">
        <v>18719</v>
      </c>
      <c r="J9">
        <v>230022425</v>
      </c>
      <c r="K9">
        <v>20</v>
      </c>
      <c r="L9">
        <v>11816.5</v>
      </c>
      <c r="M9">
        <v>12500</v>
      </c>
      <c r="N9">
        <v>935.95</v>
      </c>
      <c r="O9">
        <v>11501121.25</v>
      </c>
    </row>
    <row r="10" spans="1:15" x14ac:dyDescent="0.3">
      <c r="A10" t="s">
        <v>35</v>
      </c>
      <c r="B10" t="s">
        <v>26</v>
      </c>
      <c r="D10" t="s">
        <v>31</v>
      </c>
      <c r="E10" t="s">
        <v>29</v>
      </c>
      <c r="F10">
        <v>20000</v>
      </c>
      <c r="G10">
        <v>131131</v>
      </c>
      <c r="H10">
        <v>154908</v>
      </c>
      <c r="I10">
        <v>33112</v>
      </c>
      <c r="J10">
        <v>128298349</v>
      </c>
      <c r="K10">
        <v>20</v>
      </c>
      <c r="L10">
        <v>6556.55</v>
      </c>
      <c r="M10">
        <v>7745.4</v>
      </c>
      <c r="N10">
        <v>1655.6</v>
      </c>
      <c r="O10">
        <v>6414917.4500000002</v>
      </c>
    </row>
    <row r="11" spans="1:15" x14ac:dyDescent="0.3">
      <c r="A11" t="s">
        <v>35</v>
      </c>
      <c r="B11" t="s">
        <v>26</v>
      </c>
      <c r="D11" t="s">
        <v>32</v>
      </c>
      <c r="E11" t="s">
        <v>29</v>
      </c>
      <c r="F11">
        <v>20000</v>
      </c>
      <c r="G11">
        <v>70926</v>
      </c>
      <c r="H11">
        <v>71026</v>
      </c>
      <c r="I11">
        <v>45017</v>
      </c>
      <c r="J11">
        <v>55151783</v>
      </c>
      <c r="K11">
        <v>20</v>
      </c>
      <c r="L11">
        <v>3546.3</v>
      </c>
      <c r="M11">
        <v>3551.3</v>
      </c>
      <c r="N11">
        <v>2250.85</v>
      </c>
      <c r="O11">
        <v>2757589.15</v>
      </c>
    </row>
    <row r="12" spans="1:15" x14ac:dyDescent="0.3">
      <c r="A12" t="s">
        <v>35</v>
      </c>
      <c r="B12" t="s">
        <v>26</v>
      </c>
      <c r="D12" t="s">
        <v>33</v>
      </c>
      <c r="E12" t="s">
        <v>29</v>
      </c>
      <c r="F12">
        <v>20000</v>
      </c>
      <c r="G12">
        <v>36359</v>
      </c>
      <c r="H12">
        <v>22098</v>
      </c>
      <c r="I12">
        <v>53125</v>
      </c>
      <c r="J12">
        <v>14165709</v>
      </c>
      <c r="K12">
        <v>20</v>
      </c>
      <c r="L12">
        <v>1817.95</v>
      </c>
      <c r="M12">
        <v>1104.9000000000001</v>
      </c>
      <c r="N12">
        <v>2656.25</v>
      </c>
      <c r="O12">
        <v>708285.45</v>
      </c>
    </row>
    <row r="13" spans="1:15" x14ac:dyDescent="0.3">
      <c r="A13" t="s">
        <v>35</v>
      </c>
      <c r="B13" t="s">
        <v>26</v>
      </c>
      <c r="D13" t="s">
        <v>34</v>
      </c>
      <c r="E13" t="s">
        <v>29</v>
      </c>
      <c r="F13">
        <v>20000</v>
      </c>
      <c r="G13">
        <v>27439</v>
      </c>
      <c r="H13">
        <v>4277</v>
      </c>
      <c r="I13">
        <v>56799</v>
      </c>
      <c r="J13">
        <v>1124147</v>
      </c>
      <c r="K13">
        <v>20</v>
      </c>
      <c r="L13">
        <v>1371.95</v>
      </c>
      <c r="M13">
        <v>213.85</v>
      </c>
      <c r="N13">
        <v>2839.95</v>
      </c>
      <c r="O13">
        <v>56207.35</v>
      </c>
    </row>
    <row r="14" spans="1:15" x14ac:dyDescent="0.3">
      <c r="A14" t="s">
        <v>36</v>
      </c>
      <c r="B14" t="s">
        <v>26</v>
      </c>
      <c r="C14" t="s">
        <v>37</v>
      </c>
      <c r="D14" t="s">
        <v>28</v>
      </c>
      <c r="E14" t="s">
        <v>29</v>
      </c>
      <c r="F14">
        <v>20000</v>
      </c>
      <c r="G14">
        <v>289956</v>
      </c>
      <c r="H14">
        <v>1648521</v>
      </c>
      <c r="I14">
        <v>5652</v>
      </c>
      <c r="J14">
        <v>313174907</v>
      </c>
      <c r="K14">
        <v>20</v>
      </c>
      <c r="L14">
        <v>14497.8</v>
      </c>
      <c r="M14">
        <v>82426.05</v>
      </c>
      <c r="N14">
        <v>282.60000000000002</v>
      </c>
      <c r="O14">
        <v>15658745.35</v>
      </c>
    </row>
    <row r="15" spans="1:15" x14ac:dyDescent="0.3">
      <c r="A15" t="s">
        <v>36</v>
      </c>
      <c r="B15" t="s">
        <v>26</v>
      </c>
      <c r="C15" t="s">
        <v>37</v>
      </c>
      <c r="D15" t="s">
        <v>30</v>
      </c>
      <c r="E15" t="s">
        <v>29</v>
      </c>
      <c r="F15">
        <v>20000</v>
      </c>
      <c r="G15">
        <v>248644</v>
      </c>
      <c r="H15">
        <v>302552</v>
      </c>
      <c r="I15">
        <v>13116</v>
      </c>
      <c r="J15">
        <v>257013733</v>
      </c>
      <c r="K15">
        <v>20</v>
      </c>
      <c r="L15">
        <v>12432.2</v>
      </c>
      <c r="M15">
        <v>15127.6</v>
      </c>
      <c r="N15">
        <v>655.8</v>
      </c>
      <c r="O15">
        <v>12850686.65</v>
      </c>
    </row>
    <row r="16" spans="1:15" x14ac:dyDescent="0.3">
      <c r="A16" t="s">
        <v>36</v>
      </c>
      <c r="B16" t="s">
        <v>26</v>
      </c>
      <c r="C16" t="s">
        <v>37</v>
      </c>
      <c r="D16" t="s">
        <v>31</v>
      </c>
      <c r="E16" t="s">
        <v>29</v>
      </c>
      <c r="F16">
        <v>20000</v>
      </c>
      <c r="G16">
        <v>196895</v>
      </c>
      <c r="H16">
        <v>254501</v>
      </c>
      <c r="I16">
        <v>20791</v>
      </c>
      <c r="J16">
        <v>212298138</v>
      </c>
      <c r="K16">
        <v>20</v>
      </c>
      <c r="L16">
        <v>9844.75</v>
      </c>
      <c r="M16">
        <v>12725.05</v>
      </c>
      <c r="N16">
        <v>1039.55</v>
      </c>
      <c r="O16">
        <v>10614906.9</v>
      </c>
    </row>
    <row r="17" spans="1:15" x14ac:dyDescent="0.3">
      <c r="A17" t="s">
        <v>36</v>
      </c>
      <c r="B17" t="s">
        <v>26</v>
      </c>
      <c r="C17" t="s">
        <v>37</v>
      </c>
      <c r="D17" t="s">
        <v>32</v>
      </c>
      <c r="E17" t="s">
        <v>29</v>
      </c>
      <c r="F17">
        <v>20000</v>
      </c>
      <c r="G17">
        <v>170561</v>
      </c>
      <c r="H17">
        <v>230287</v>
      </c>
      <c r="I17">
        <v>25818</v>
      </c>
      <c r="J17">
        <v>173151344</v>
      </c>
      <c r="K17">
        <v>20</v>
      </c>
      <c r="L17">
        <v>8528.0499999999993</v>
      </c>
      <c r="M17">
        <v>11514.35</v>
      </c>
      <c r="N17">
        <v>1290.9000000000001</v>
      </c>
      <c r="O17">
        <v>8657567.1999999993</v>
      </c>
    </row>
    <row r="18" spans="1:15" x14ac:dyDescent="0.3">
      <c r="A18" t="s">
        <v>36</v>
      </c>
      <c r="B18" t="s">
        <v>26</v>
      </c>
      <c r="C18" t="s">
        <v>37</v>
      </c>
      <c r="D18" t="s">
        <v>33</v>
      </c>
      <c r="E18" t="s">
        <v>29</v>
      </c>
      <c r="F18">
        <v>20000</v>
      </c>
      <c r="G18">
        <v>129970</v>
      </c>
      <c r="H18">
        <v>191941</v>
      </c>
      <c r="I18">
        <v>30917</v>
      </c>
      <c r="J18">
        <v>137310788</v>
      </c>
      <c r="K18">
        <v>20</v>
      </c>
      <c r="L18">
        <v>6498.5</v>
      </c>
      <c r="M18">
        <v>9597.0499999999993</v>
      </c>
      <c r="N18">
        <v>1545.85</v>
      </c>
      <c r="O18">
        <v>6865539.4000000004</v>
      </c>
    </row>
    <row r="19" spans="1:15" x14ac:dyDescent="0.3">
      <c r="A19" t="s">
        <v>36</v>
      </c>
      <c r="B19" t="s">
        <v>26</v>
      </c>
      <c r="C19" t="s">
        <v>37</v>
      </c>
      <c r="D19" t="s">
        <v>34</v>
      </c>
      <c r="E19" t="s">
        <v>29</v>
      </c>
      <c r="F19">
        <v>20000</v>
      </c>
      <c r="G19">
        <v>107619</v>
      </c>
      <c r="H19">
        <v>153789</v>
      </c>
      <c r="I19">
        <v>33341</v>
      </c>
      <c r="J19">
        <v>107274159</v>
      </c>
      <c r="K19">
        <v>20</v>
      </c>
      <c r="L19">
        <v>5380.95</v>
      </c>
      <c r="M19">
        <v>7689.45</v>
      </c>
      <c r="N19">
        <v>1667.05</v>
      </c>
      <c r="O19">
        <v>5363707.95</v>
      </c>
    </row>
    <row r="20" spans="1:15" x14ac:dyDescent="0.3">
      <c r="A20" t="s">
        <v>38</v>
      </c>
      <c r="B20" t="s">
        <v>26</v>
      </c>
      <c r="D20" t="s">
        <v>28</v>
      </c>
      <c r="F20">
        <v>20000</v>
      </c>
      <c r="G20">
        <v>339864</v>
      </c>
      <c r="H20">
        <v>389632</v>
      </c>
      <c r="I20">
        <v>522</v>
      </c>
      <c r="J20">
        <v>364417487</v>
      </c>
      <c r="K20">
        <v>20</v>
      </c>
      <c r="L20">
        <v>16993.2</v>
      </c>
      <c r="M20">
        <v>19481.599999999999</v>
      </c>
      <c r="N20">
        <v>26.1</v>
      </c>
      <c r="O20">
        <v>18220874.350000001</v>
      </c>
    </row>
    <row r="21" spans="1:15" x14ac:dyDescent="0.3">
      <c r="A21" t="s">
        <v>38</v>
      </c>
      <c r="B21" t="s">
        <v>26</v>
      </c>
      <c r="D21" t="s">
        <v>30</v>
      </c>
      <c r="F21">
        <v>20000</v>
      </c>
      <c r="G21">
        <v>346655</v>
      </c>
      <c r="H21">
        <v>362386</v>
      </c>
      <c r="I21">
        <v>639</v>
      </c>
      <c r="J21">
        <v>363823432</v>
      </c>
      <c r="K21">
        <v>20</v>
      </c>
      <c r="L21">
        <v>17332.75</v>
      </c>
      <c r="M21">
        <v>18119.3</v>
      </c>
      <c r="N21">
        <v>31.95</v>
      </c>
      <c r="O21">
        <v>18191171.600000001</v>
      </c>
    </row>
    <row r="22" spans="1:15" x14ac:dyDescent="0.3">
      <c r="A22" t="s">
        <v>38</v>
      </c>
      <c r="B22" t="s">
        <v>26</v>
      </c>
      <c r="D22" t="s">
        <v>31</v>
      </c>
      <c r="F22">
        <v>20000</v>
      </c>
      <c r="G22">
        <v>339703</v>
      </c>
      <c r="H22">
        <v>419680</v>
      </c>
      <c r="I22">
        <v>528</v>
      </c>
      <c r="J22">
        <v>363983362</v>
      </c>
      <c r="K22">
        <v>20</v>
      </c>
      <c r="L22">
        <v>16985.150000000001</v>
      </c>
      <c r="M22">
        <v>20984</v>
      </c>
      <c r="N22">
        <v>26.4</v>
      </c>
      <c r="O22">
        <v>18199168.100000001</v>
      </c>
    </row>
    <row r="23" spans="1:15" x14ac:dyDescent="0.3">
      <c r="A23" t="s">
        <v>38</v>
      </c>
      <c r="B23" t="s">
        <v>26</v>
      </c>
      <c r="D23" t="s">
        <v>32</v>
      </c>
      <c r="F23">
        <v>20000</v>
      </c>
      <c r="G23">
        <v>350793</v>
      </c>
      <c r="H23">
        <v>370868</v>
      </c>
      <c r="I23">
        <v>495</v>
      </c>
      <c r="J23">
        <v>364545357</v>
      </c>
      <c r="K23">
        <v>20</v>
      </c>
      <c r="L23">
        <v>17539.650000000001</v>
      </c>
      <c r="M23">
        <v>18543.400000000001</v>
      </c>
      <c r="N23">
        <v>24.75</v>
      </c>
      <c r="O23">
        <v>18227267.850000001</v>
      </c>
    </row>
    <row r="24" spans="1:15" x14ac:dyDescent="0.3">
      <c r="A24" t="s">
        <v>38</v>
      </c>
      <c r="B24" t="s">
        <v>26</v>
      </c>
      <c r="D24" t="s">
        <v>33</v>
      </c>
      <c r="F24">
        <v>20000</v>
      </c>
      <c r="G24">
        <v>353566</v>
      </c>
      <c r="H24">
        <v>398704</v>
      </c>
      <c r="I24">
        <v>444</v>
      </c>
      <c r="J24">
        <v>363999824</v>
      </c>
      <c r="K24">
        <v>20</v>
      </c>
      <c r="L24">
        <v>17678.3</v>
      </c>
      <c r="M24">
        <v>19935.2</v>
      </c>
      <c r="N24">
        <v>22.2</v>
      </c>
      <c r="O24">
        <v>18199991.199999999</v>
      </c>
    </row>
    <row r="25" spans="1:15" x14ac:dyDescent="0.3">
      <c r="A25" t="s">
        <v>38</v>
      </c>
      <c r="B25" t="s">
        <v>26</v>
      </c>
      <c r="D25" t="s">
        <v>34</v>
      </c>
      <c r="F25">
        <v>20000</v>
      </c>
      <c r="G25">
        <v>342976</v>
      </c>
      <c r="H25">
        <v>379824</v>
      </c>
      <c r="I25">
        <v>641</v>
      </c>
      <c r="J25">
        <v>364179165</v>
      </c>
      <c r="K25">
        <v>20</v>
      </c>
      <c r="L25">
        <v>17148.8</v>
      </c>
      <c r="M25">
        <v>18991.2</v>
      </c>
      <c r="N25">
        <v>32.049999999999997</v>
      </c>
      <c r="O25">
        <v>18208958.25</v>
      </c>
    </row>
    <row r="26" spans="1:15" x14ac:dyDescent="0.3">
      <c r="A26" t="s">
        <v>39</v>
      </c>
      <c r="B26" t="s">
        <v>26</v>
      </c>
      <c r="C26" t="s">
        <v>37</v>
      </c>
      <c r="D26" t="s">
        <v>28</v>
      </c>
      <c r="F26">
        <v>20000</v>
      </c>
      <c r="G26">
        <v>289005</v>
      </c>
      <c r="H26">
        <v>1626702</v>
      </c>
      <c r="I26">
        <v>5625</v>
      </c>
      <c r="J26">
        <v>309700243</v>
      </c>
      <c r="K26">
        <v>20</v>
      </c>
      <c r="L26">
        <v>14450.25</v>
      </c>
      <c r="M26">
        <v>81335.100000000006</v>
      </c>
      <c r="N26">
        <v>281.25</v>
      </c>
      <c r="O26">
        <v>15485012.15</v>
      </c>
    </row>
    <row r="27" spans="1:15" x14ac:dyDescent="0.3">
      <c r="A27" t="s">
        <v>39</v>
      </c>
      <c r="B27" t="s">
        <v>26</v>
      </c>
      <c r="C27" t="s">
        <v>37</v>
      </c>
      <c r="D27" t="s">
        <v>30</v>
      </c>
      <c r="F27">
        <v>20000</v>
      </c>
      <c r="G27">
        <v>197479</v>
      </c>
      <c r="H27">
        <v>235851</v>
      </c>
      <c r="I27">
        <v>14266</v>
      </c>
      <c r="J27">
        <v>211556745</v>
      </c>
      <c r="K27">
        <v>20</v>
      </c>
      <c r="L27">
        <v>9873.9500000000007</v>
      </c>
      <c r="M27">
        <v>11792.55</v>
      </c>
      <c r="N27">
        <v>713.3</v>
      </c>
      <c r="O27">
        <v>10577837.25</v>
      </c>
    </row>
    <row r="28" spans="1:15" x14ac:dyDescent="0.3">
      <c r="A28" t="s">
        <v>39</v>
      </c>
      <c r="B28" t="s">
        <v>26</v>
      </c>
      <c r="C28" t="s">
        <v>37</v>
      </c>
      <c r="D28" t="s">
        <v>31</v>
      </c>
      <c r="F28">
        <v>20000</v>
      </c>
      <c r="G28">
        <v>145055</v>
      </c>
      <c r="H28">
        <v>177251</v>
      </c>
      <c r="I28">
        <v>23759</v>
      </c>
      <c r="J28">
        <v>154637427</v>
      </c>
      <c r="K28">
        <v>20</v>
      </c>
      <c r="L28">
        <v>7252.75</v>
      </c>
      <c r="M28">
        <v>8862.5499999999993</v>
      </c>
      <c r="N28">
        <v>1187.95</v>
      </c>
      <c r="O28">
        <v>7731871.3499999996</v>
      </c>
    </row>
    <row r="29" spans="1:15" x14ac:dyDescent="0.3">
      <c r="A29" t="s">
        <v>39</v>
      </c>
      <c r="B29" t="s">
        <v>26</v>
      </c>
      <c r="C29" t="s">
        <v>37</v>
      </c>
      <c r="D29" t="s">
        <v>32</v>
      </c>
      <c r="F29">
        <v>20000</v>
      </c>
      <c r="G29">
        <v>110028</v>
      </c>
      <c r="H29">
        <v>135890</v>
      </c>
      <c r="I29">
        <v>31504</v>
      </c>
      <c r="J29">
        <v>116100341</v>
      </c>
      <c r="K29">
        <v>20</v>
      </c>
      <c r="L29">
        <v>5501.4</v>
      </c>
      <c r="M29">
        <v>6794.5</v>
      </c>
      <c r="N29">
        <v>1575.2</v>
      </c>
      <c r="O29">
        <v>5805017.0499999998</v>
      </c>
    </row>
    <row r="30" spans="1:15" x14ac:dyDescent="0.3">
      <c r="A30" t="s">
        <v>39</v>
      </c>
      <c r="B30" t="s">
        <v>26</v>
      </c>
      <c r="C30" t="s">
        <v>37</v>
      </c>
      <c r="D30" t="s">
        <v>33</v>
      </c>
      <c r="F30">
        <v>20000</v>
      </c>
      <c r="G30">
        <v>91800</v>
      </c>
      <c r="H30">
        <v>106671</v>
      </c>
      <c r="I30">
        <v>38077</v>
      </c>
      <c r="J30">
        <v>88312401</v>
      </c>
      <c r="K30">
        <v>20</v>
      </c>
      <c r="L30">
        <v>4590</v>
      </c>
      <c r="M30">
        <v>5333.55</v>
      </c>
      <c r="N30">
        <v>1903.85</v>
      </c>
      <c r="O30">
        <v>4415620.05</v>
      </c>
    </row>
    <row r="31" spans="1:15" x14ac:dyDescent="0.3">
      <c r="A31" t="s">
        <v>39</v>
      </c>
      <c r="B31" t="s">
        <v>26</v>
      </c>
      <c r="C31" t="s">
        <v>37</v>
      </c>
      <c r="D31" t="s">
        <v>34</v>
      </c>
      <c r="F31">
        <v>20000</v>
      </c>
      <c r="G31">
        <v>74575</v>
      </c>
      <c r="H31">
        <v>79571</v>
      </c>
      <c r="I31">
        <v>43235</v>
      </c>
      <c r="J31">
        <v>65380831</v>
      </c>
      <c r="K31">
        <v>20</v>
      </c>
      <c r="L31">
        <v>3728.75</v>
      </c>
      <c r="M31">
        <v>3978.55</v>
      </c>
      <c r="N31">
        <v>2161.75</v>
      </c>
      <c r="O31">
        <v>3269041.55</v>
      </c>
    </row>
    <row r="32" spans="1:15" x14ac:dyDescent="0.3">
      <c r="A32" t="s">
        <v>40</v>
      </c>
      <c r="B32" t="s">
        <v>26</v>
      </c>
      <c r="C32" t="s">
        <v>41</v>
      </c>
      <c r="D32" t="s">
        <v>28</v>
      </c>
      <c r="F32">
        <v>20000</v>
      </c>
      <c r="G32">
        <v>475833</v>
      </c>
      <c r="H32">
        <v>428798</v>
      </c>
      <c r="I32">
        <v>416</v>
      </c>
      <c r="J32">
        <v>474629256</v>
      </c>
      <c r="K32">
        <v>20</v>
      </c>
      <c r="L32">
        <v>23791.65</v>
      </c>
      <c r="M32">
        <v>21439.9</v>
      </c>
      <c r="N32">
        <v>20.8</v>
      </c>
      <c r="O32">
        <v>23731462.800000001</v>
      </c>
    </row>
    <row r="33" spans="1:15" x14ac:dyDescent="0.3">
      <c r="A33" t="s">
        <v>40</v>
      </c>
      <c r="B33" t="s">
        <v>26</v>
      </c>
      <c r="C33" t="s">
        <v>41</v>
      </c>
      <c r="D33" t="s">
        <v>30</v>
      </c>
      <c r="F33">
        <v>20000</v>
      </c>
      <c r="G33">
        <v>260524</v>
      </c>
      <c r="H33">
        <v>265387</v>
      </c>
      <c r="I33">
        <v>14253</v>
      </c>
      <c r="J33">
        <v>256110455</v>
      </c>
      <c r="K33">
        <v>20</v>
      </c>
      <c r="L33">
        <v>13026.2</v>
      </c>
      <c r="M33">
        <v>13269.35</v>
      </c>
      <c r="N33">
        <v>712.65</v>
      </c>
      <c r="O33">
        <v>12805522.75</v>
      </c>
    </row>
    <row r="34" spans="1:15" x14ac:dyDescent="0.3">
      <c r="A34" t="s">
        <v>40</v>
      </c>
      <c r="B34" t="s">
        <v>26</v>
      </c>
      <c r="C34" t="s">
        <v>41</v>
      </c>
      <c r="D34" t="s">
        <v>31</v>
      </c>
      <c r="F34">
        <v>20000</v>
      </c>
      <c r="G34">
        <v>146102</v>
      </c>
      <c r="H34">
        <v>162319</v>
      </c>
      <c r="I34">
        <v>25660</v>
      </c>
      <c r="J34">
        <v>138297440</v>
      </c>
      <c r="K34">
        <v>20</v>
      </c>
      <c r="L34">
        <v>7305.1</v>
      </c>
      <c r="M34">
        <v>8115.95</v>
      </c>
      <c r="N34">
        <v>1283</v>
      </c>
      <c r="O34">
        <v>6914872</v>
      </c>
    </row>
    <row r="35" spans="1:15" x14ac:dyDescent="0.3">
      <c r="A35" t="s">
        <v>40</v>
      </c>
      <c r="B35" t="s">
        <v>26</v>
      </c>
      <c r="C35" t="s">
        <v>41</v>
      </c>
      <c r="D35" t="s">
        <v>32</v>
      </c>
      <c r="F35">
        <v>20000</v>
      </c>
      <c r="G35">
        <v>90939</v>
      </c>
      <c r="H35">
        <v>104651</v>
      </c>
      <c r="I35">
        <v>34892</v>
      </c>
      <c r="J35">
        <v>78392243</v>
      </c>
      <c r="K35">
        <v>20</v>
      </c>
      <c r="L35">
        <v>4546.95</v>
      </c>
      <c r="M35">
        <v>5232.55</v>
      </c>
      <c r="N35">
        <v>1744.6</v>
      </c>
      <c r="O35">
        <v>3919612.15</v>
      </c>
    </row>
    <row r="36" spans="1:15" x14ac:dyDescent="0.3">
      <c r="A36" t="s">
        <v>40</v>
      </c>
      <c r="B36" t="s">
        <v>26</v>
      </c>
      <c r="C36" t="s">
        <v>41</v>
      </c>
      <c r="D36" t="s">
        <v>33</v>
      </c>
      <c r="F36">
        <v>20000</v>
      </c>
      <c r="G36">
        <v>66537</v>
      </c>
      <c r="H36">
        <v>64362</v>
      </c>
      <c r="I36">
        <v>41760</v>
      </c>
      <c r="J36">
        <v>47846840</v>
      </c>
      <c r="K36">
        <v>20</v>
      </c>
      <c r="L36">
        <v>3326.85</v>
      </c>
      <c r="M36">
        <v>3218.1</v>
      </c>
      <c r="N36">
        <v>2088</v>
      </c>
      <c r="O36">
        <v>2392342</v>
      </c>
    </row>
    <row r="37" spans="1:15" x14ac:dyDescent="0.3">
      <c r="A37" t="s">
        <v>40</v>
      </c>
      <c r="B37" t="s">
        <v>26</v>
      </c>
      <c r="C37" t="s">
        <v>41</v>
      </c>
      <c r="D37" t="s">
        <v>34</v>
      </c>
      <c r="F37">
        <v>20000</v>
      </c>
      <c r="G37">
        <v>52251</v>
      </c>
      <c r="H37">
        <v>43442</v>
      </c>
      <c r="I37">
        <v>46523</v>
      </c>
      <c r="J37">
        <v>31167877</v>
      </c>
      <c r="K37">
        <v>20</v>
      </c>
      <c r="L37">
        <v>2612.5500000000002</v>
      </c>
      <c r="M37">
        <v>2172.1</v>
      </c>
      <c r="N37">
        <v>2326.15</v>
      </c>
      <c r="O37">
        <v>1558393.85</v>
      </c>
    </row>
    <row r="38" spans="1:15" x14ac:dyDescent="0.3">
      <c r="A38" t="s">
        <v>42</v>
      </c>
      <c r="B38" t="s">
        <v>26</v>
      </c>
      <c r="F38">
        <v>20000</v>
      </c>
      <c r="G38">
        <v>26992</v>
      </c>
      <c r="H38">
        <v>4102</v>
      </c>
      <c r="I38">
        <v>54442</v>
      </c>
      <c r="J38">
        <v>1169207</v>
      </c>
      <c r="K38">
        <v>20</v>
      </c>
      <c r="L38">
        <v>1349.6</v>
      </c>
      <c r="M38">
        <v>205.1</v>
      </c>
      <c r="N38">
        <v>2722.1</v>
      </c>
      <c r="O38">
        <v>58460.35</v>
      </c>
    </row>
    <row r="39" spans="1:15" x14ac:dyDescent="0.3">
      <c r="A39" t="s">
        <v>44</v>
      </c>
      <c r="B39" t="s">
        <v>26</v>
      </c>
      <c r="F39">
        <v>20000</v>
      </c>
      <c r="G39">
        <v>28218</v>
      </c>
      <c r="H39">
        <v>11869</v>
      </c>
      <c r="I39">
        <v>52042</v>
      </c>
      <c r="J39">
        <v>6184508</v>
      </c>
      <c r="K39">
        <v>20</v>
      </c>
      <c r="L39">
        <v>1410.9</v>
      </c>
      <c r="M39">
        <v>593.45000000000005</v>
      </c>
      <c r="N39">
        <v>2602.1</v>
      </c>
      <c r="O39">
        <v>309225.40000000002</v>
      </c>
    </row>
    <row r="40" spans="1:15" x14ac:dyDescent="0.3">
      <c r="A40" t="s">
        <v>45</v>
      </c>
      <c r="B40" t="s">
        <v>26</v>
      </c>
      <c r="F40">
        <v>20000</v>
      </c>
      <c r="G40">
        <v>35380</v>
      </c>
      <c r="H40">
        <v>14581</v>
      </c>
      <c r="I40">
        <v>52432</v>
      </c>
      <c r="J40">
        <v>9943502</v>
      </c>
      <c r="K40">
        <v>20</v>
      </c>
      <c r="L40">
        <v>1769</v>
      </c>
      <c r="M40">
        <v>729.05</v>
      </c>
      <c r="N40">
        <v>2621.6</v>
      </c>
      <c r="O40">
        <v>497175.1</v>
      </c>
    </row>
    <row r="41" spans="1:15" x14ac:dyDescent="0.3">
      <c r="A41" t="s">
        <v>43</v>
      </c>
      <c r="B41" t="s">
        <v>26</v>
      </c>
      <c r="F41">
        <v>20000</v>
      </c>
      <c r="G41">
        <v>29840</v>
      </c>
      <c r="H41">
        <v>11353</v>
      </c>
      <c r="I41">
        <v>22013</v>
      </c>
      <c r="J41">
        <v>2085907</v>
      </c>
      <c r="K41">
        <v>20</v>
      </c>
      <c r="L41">
        <v>1492</v>
      </c>
      <c r="M41">
        <v>567.65</v>
      </c>
      <c r="N41">
        <v>1100.6500000000001</v>
      </c>
      <c r="O41">
        <v>104295.35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EBD3C-C153-4344-B097-396F6EB4998A}">
  <sheetPr codeName="Sheet4"/>
  <dimension ref="A1:O41"/>
  <sheetViews>
    <sheetView workbookViewId="0">
      <selection activeCell="C38" sqref="C38"/>
    </sheetView>
  </sheetViews>
  <sheetFormatPr defaultRowHeight="14.4" x14ac:dyDescent="0.3"/>
  <cols>
    <col min="1" max="1" width="39.44140625" customWidth="1"/>
    <col min="2" max="2" width="34.5546875" customWidth="1"/>
    <col min="3" max="3" width="32.5546875" customWidth="1"/>
    <col min="4" max="4" width="19.44140625" customWidth="1"/>
    <col min="6" max="6" width="16.6640625" customWidth="1"/>
    <col min="7" max="7" width="28.6640625" hidden="1" customWidth="1"/>
    <col min="8" max="8" width="31.33203125" hidden="1" customWidth="1"/>
    <col min="9" max="9" width="25.21875" hidden="1" customWidth="1"/>
    <col min="10" max="11" width="18.77734375" hidden="1" customWidth="1"/>
    <col min="12" max="13" width="17.109375" customWidth="1"/>
    <col min="14" max="14" width="17" customWidth="1"/>
    <col min="15" max="15" width="16.77734375" style="2" customWidth="1"/>
  </cols>
  <sheetData>
    <row r="1" spans="1:1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s="2" t="s">
        <v>24</v>
      </c>
    </row>
    <row r="2" spans="1:15" x14ac:dyDescent="0.3">
      <c r="A2" t="s">
        <v>25</v>
      </c>
      <c r="B2" t="s">
        <v>48</v>
      </c>
      <c r="C2" t="s">
        <v>27</v>
      </c>
      <c r="D2" t="s">
        <v>28</v>
      </c>
      <c r="E2" t="s">
        <v>29</v>
      </c>
      <c r="F2">
        <v>10000</v>
      </c>
      <c r="G2">
        <v>677380</v>
      </c>
      <c r="H2">
        <v>4878862</v>
      </c>
      <c r="I2">
        <v>20</v>
      </c>
      <c r="J2">
        <v>999900000</v>
      </c>
      <c r="K2">
        <v>20</v>
      </c>
      <c r="L2">
        <v>33869</v>
      </c>
      <c r="M2">
        <v>243943.1</v>
      </c>
      <c r="N2">
        <v>1</v>
      </c>
      <c r="O2" s="2">
        <v>49995000</v>
      </c>
    </row>
    <row r="3" spans="1:15" x14ac:dyDescent="0.3">
      <c r="A3" t="s">
        <v>25</v>
      </c>
      <c r="B3" t="s">
        <v>48</v>
      </c>
      <c r="C3" t="s">
        <v>27</v>
      </c>
      <c r="D3" t="s">
        <v>30</v>
      </c>
      <c r="E3" t="s">
        <v>29</v>
      </c>
      <c r="F3">
        <v>10000</v>
      </c>
      <c r="G3">
        <v>269231</v>
      </c>
      <c r="H3">
        <v>922478</v>
      </c>
      <c r="I3">
        <v>7670</v>
      </c>
      <c r="J3">
        <v>418458694</v>
      </c>
      <c r="K3">
        <v>20</v>
      </c>
      <c r="L3">
        <v>13461.55</v>
      </c>
      <c r="M3">
        <v>46123.9</v>
      </c>
      <c r="N3">
        <v>383.5</v>
      </c>
      <c r="O3" s="2">
        <v>20922934.699999999</v>
      </c>
    </row>
    <row r="4" spans="1:15" x14ac:dyDescent="0.3">
      <c r="A4" t="s">
        <v>25</v>
      </c>
      <c r="B4" t="s">
        <v>48</v>
      </c>
      <c r="C4" t="s">
        <v>27</v>
      </c>
      <c r="D4" t="s">
        <v>31</v>
      </c>
      <c r="E4" t="s">
        <v>29</v>
      </c>
      <c r="F4">
        <v>10000</v>
      </c>
      <c r="G4">
        <v>142739</v>
      </c>
      <c r="H4">
        <v>509820</v>
      </c>
      <c r="I4">
        <v>14167</v>
      </c>
      <c r="J4">
        <v>218408479</v>
      </c>
      <c r="K4">
        <v>20</v>
      </c>
      <c r="L4">
        <v>7136.95</v>
      </c>
      <c r="M4">
        <v>25491</v>
      </c>
      <c r="N4">
        <v>708.35</v>
      </c>
      <c r="O4" s="2">
        <v>10920423.949999999</v>
      </c>
    </row>
    <row r="5" spans="1:15" x14ac:dyDescent="0.3">
      <c r="A5" t="s">
        <v>25</v>
      </c>
      <c r="B5" t="s">
        <v>48</v>
      </c>
      <c r="C5" t="s">
        <v>27</v>
      </c>
      <c r="D5" t="s">
        <v>32</v>
      </c>
      <c r="E5" t="s">
        <v>29</v>
      </c>
      <c r="F5">
        <v>10000</v>
      </c>
      <c r="G5">
        <v>86931</v>
      </c>
      <c r="H5">
        <v>329179</v>
      </c>
      <c r="I5">
        <v>18842</v>
      </c>
      <c r="J5">
        <v>134258750</v>
      </c>
      <c r="K5">
        <v>20</v>
      </c>
      <c r="L5">
        <v>4346.55</v>
      </c>
      <c r="M5">
        <v>16458.95</v>
      </c>
      <c r="N5">
        <v>942.1</v>
      </c>
      <c r="O5" s="2">
        <v>6712937.5</v>
      </c>
    </row>
    <row r="6" spans="1:15" x14ac:dyDescent="0.3">
      <c r="A6" t="s">
        <v>25</v>
      </c>
      <c r="B6" t="s">
        <v>48</v>
      </c>
      <c r="C6" t="s">
        <v>27</v>
      </c>
      <c r="D6" t="s">
        <v>33</v>
      </c>
      <c r="E6" t="s">
        <v>29</v>
      </c>
      <c r="F6">
        <v>10000</v>
      </c>
      <c r="G6">
        <v>56904</v>
      </c>
      <c r="H6">
        <v>229196</v>
      </c>
      <c r="I6">
        <v>22496</v>
      </c>
      <c r="J6">
        <v>87712723</v>
      </c>
      <c r="K6">
        <v>20</v>
      </c>
      <c r="L6">
        <v>2845.2</v>
      </c>
      <c r="M6">
        <v>11459.8</v>
      </c>
      <c r="N6">
        <v>1124.8</v>
      </c>
      <c r="O6" s="2">
        <v>4385636.1500000004</v>
      </c>
    </row>
    <row r="7" spans="1:15" x14ac:dyDescent="0.3">
      <c r="A7" t="s">
        <v>25</v>
      </c>
      <c r="B7" t="s">
        <v>48</v>
      </c>
      <c r="C7" t="s">
        <v>27</v>
      </c>
      <c r="D7" t="s">
        <v>34</v>
      </c>
      <c r="E7" t="s">
        <v>29</v>
      </c>
      <c r="F7">
        <v>10000</v>
      </c>
      <c r="G7">
        <v>40190</v>
      </c>
      <c r="H7">
        <v>171903</v>
      </c>
      <c r="I7">
        <v>25022</v>
      </c>
      <c r="J7">
        <v>62648098</v>
      </c>
      <c r="K7">
        <v>20</v>
      </c>
      <c r="L7">
        <v>2009.5</v>
      </c>
      <c r="M7">
        <v>8595.15</v>
      </c>
      <c r="N7">
        <v>1251.0999999999999</v>
      </c>
      <c r="O7" s="2">
        <v>3132404.9</v>
      </c>
    </row>
    <row r="8" spans="1:15" x14ac:dyDescent="0.3">
      <c r="A8" t="s">
        <v>35</v>
      </c>
      <c r="B8" t="s">
        <v>48</v>
      </c>
      <c r="D8" t="s">
        <v>28</v>
      </c>
      <c r="E8" t="s">
        <v>29</v>
      </c>
      <c r="F8">
        <v>10000</v>
      </c>
      <c r="G8">
        <v>237119</v>
      </c>
      <c r="H8">
        <v>7061647</v>
      </c>
      <c r="I8">
        <v>89</v>
      </c>
      <c r="J8">
        <v>363864983</v>
      </c>
      <c r="K8">
        <v>20</v>
      </c>
      <c r="L8">
        <v>11855.95</v>
      </c>
      <c r="M8">
        <v>353082.35</v>
      </c>
      <c r="N8">
        <v>4.45</v>
      </c>
      <c r="O8" s="2">
        <v>18193249.149999999</v>
      </c>
    </row>
    <row r="9" spans="1:15" x14ac:dyDescent="0.3">
      <c r="A9" t="s">
        <v>35</v>
      </c>
      <c r="B9" t="s">
        <v>48</v>
      </c>
      <c r="D9" t="s">
        <v>30</v>
      </c>
      <c r="E9" t="s">
        <v>29</v>
      </c>
      <c r="F9">
        <v>10000</v>
      </c>
      <c r="G9">
        <v>162651</v>
      </c>
      <c r="H9">
        <v>599076</v>
      </c>
      <c r="I9">
        <v>12266</v>
      </c>
      <c r="J9">
        <v>251969669</v>
      </c>
      <c r="K9">
        <v>20</v>
      </c>
      <c r="L9">
        <v>8132.55</v>
      </c>
      <c r="M9">
        <v>29953.8</v>
      </c>
      <c r="N9">
        <v>613.29999999999995</v>
      </c>
      <c r="O9" s="2">
        <v>12598483.449999999</v>
      </c>
    </row>
    <row r="10" spans="1:15" x14ac:dyDescent="0.3">
      <c r="A10" t="s">
        <v>35</v>
      </c>
      <c r="B10" t="s">
        <v>48</v>
      </c>
      <c r="D10" t="s">
        <v>31</v>
      </c>
      <c r="E10" t="s">
        <v>29</v>
      </c>
      <c r="F10">
        <v>10000</v>
      </c>
      <c r="G10">
        <v>99661</v>
      </c>
      <c r="H10">
        <v>371045</v>
      </c>
      <c r="I10">
        <v>20860</v>
      </c>
      <c r="J10">
        <v>156386991</v>
      </c>
      <c r="K10">
        <v>20</v>
      </c>
      <c r="L10">
        <v>4983.05</v>
      </c>
      <c r="M10">
        <v>18552.25</v>
      </c>
      <c r="N10">
        <v>1043</v>
      </c>
      <c r="O10" s="2">
        <v>7819349.5499999998</v>
      </c>
    </row>
    <row r="11" spans="1:15" x14ac:dyDescent="0.3">
      <c r="A11" t="s">
        <v>35</v>
      </c>
      <c r="B11" t="s">
        <v>48</v>
      </c>
      <c r="D11" t="s">
        <v>32</v>
      </c>
      <c r="E11" t="s">
        <v>29</v>
      </c>
      <c r="F11">
        <v>10000</v>
      </c>
      <c r="G11">
        <v>48956</v>
      </c>
      <c r="H11">
        <v>181681</v>
      </c>
      <c r="I11">
        <v>26928</v>
      </c>
      <c r="J11">
        <v>76517411</v>
      </c>
      <c r="K11">
        <v>20</v>
      </c>
      <c r="L11">
        <v>2447.8000000000002</v>
      </c>
      <c r="M11">
        <v>9084.0499999999993</v>
      </c>
      <c r="N11">
        <v>1346.4</v>
      </c>
      <c r="O11" s="2">
        <v>3825870.55</v>
      </c>
    </row>
    <row r="12" spans="1:15" x14ac:dyDescent="0.3">
      <c r="A12" t="s">
        <v>35</v>
      </c>
      <c r="B12" t="s">
        <v>48</v>
      </c>
      <c r="D12" t="s">
        <v>33</v>
      </c>
      <c r="E12" t="s">
        <v>29</v>
      </c>
      <c r="F12">
        <v>10000</v>
      </c>
      <c r="G12">
        <v>15871</v>
      </c>
      <c r="H12">
        <v>53134</v>
      </c>
      <c r="I12">
        <v>30724</v>
      </c>
      <c r="J12">
        <v>22303836</v>
      </c>
      <c r="K12">
        <v>20</v>
      </c>
      <c r="L12">
        <v>793.55</v>
      </c>
      <c r="M12">
        <v>2656.7</v>
      </c>
      <c r="N12">
        <v>1536.2</v>
      </c>
      <c r="O12" s="2">
        <v>1115191.8</v>
      </c>
    </row>
    <row r="13" spans="1:15" x14ac:dyDescent="0.3">
      <c r="A13" t="s">
        <v>35</v>
      </c>
      <c r="B13" t="s">
        <v>48</v>
      </c>
      <c r="D13" t="s">
        <v>34</v>
      </c>
      <c r="E13" t="s">
        <v>29</v>
      </c>
      <c r="F13">
        <v>10000</v>
      </c>
      <c r="G13">
        <v>5615</v>
      </c>
      <c r="H13">
        <v>5672</v>
      </c>
      <c r="I13">
        <v>31845</v>
      </c>
      <c r="J13">
        <v>1643835</v>
      </c>
      <c r="K13">
        <v>20</v>
      </c>
      <c r="L13">
        <v>280.75</v>
      </c>
      <c r="M13">
        <v>283.60000000000002</v>
      </c>
      <c r="N13">
        <v>1592.25</v>
      </c>
      <c r="O13" s="2">
        <v>82191.75</v>
      </c>
    </row>
    <row r="14" spans="1:15" x14ac:dyDescent="0.3">
      <c r="A14" t="s">
        <v>36</v>
      </c>
      <c r="B14" t="s">
        <v>48</v>
      </c>
      <c r="C14" t="s">
        <v>37</v>
      </c>
      <c r="D14" t="s">
        <v>28</v>
      </c>
      <c r="E14" t="s">
        <v>29</v>
      </c>
      <c r="F14">
        <v>10000</v>
      </c>
      <c r="G14">
        <v>218172</v>
      </c>
      <c r="H14">
        <v>4228000</v>
      </c>
      <c r="I14">
        <v>236</v>
      </c>
      <c r="J14">
        <v>333476489</v>
      </c>
      <c r="K14">
        <v>20</v>
      </c>
      <c r="L14">
        <v>10908.6</v>
      </c>
      <c r="M14">
        <v>211400</v>
      </c>
      <c r="N14">
        <v>11.8</v>
      </c>
      <c r="O14" s="2">
        <v>16673824.449999999</v>
      </c>
    </row>
    <row r="15" spans="1:15" x14ac:dyDescent="0.3">
      <c r="A15" t="s">
        <v>36</v>
      </c>
      <c r="B15" t="s">
        <v>48</v>
      </c>
      <c r="C15" t="s">
        <v>37</v>
      </c>
      <c r="D15" t="s">
        <v>30</v>
      </c>
      <c r="E15" t="s">
        <v>29</v>
      </c>
      <c r="F15">
        <v>10000</v>
      </c>
      <c r="G15">
        <v>185063</v>
      </c>
      <c r="H15">
        <v>1192267</v>
      </c>
      <c r="I15">
        <v>1333</v>
      </c>
      <c r="J15">
        <v>285328332</v>
      </c>
      <c r="K15">
        <v>20</v>
      </c>
      <c r="L15">
        <v>9253.15</v>
      </c>
      <c r="M15">
        <v>59613.35</v>
      </c>
      <c r="N15">
        <v>66.650000000000006</v>
      </c>
      <c r="O15" s="2">
        <v>14266416.6</v>
      </c>
    </row>
    <row r="16" spans="1:15" x14ac:dyDescent="0.3">
      <c r="A16" t="s">
        <v>36</v>
      </c>
      <c r="B16" t="s">
        <v>48</v>
      </c>
      <c r="C16" t="s">
        <v>37</v>
      </c>
      <c r="D16" t="s">
        <v>31</v>
      </c>
      <c r="E16" t="s">
        <v>29</v>
      </c>
      <c r="F16">
        <v>10000</v>
      </c>
      <c r="G16">
        <v>161062</v>
      </c>
      <c r="H16">
        <v>876383</v>
      </c>
      <c r="I16">
        <v>2337</v>
      </c>
      <c r="J16">
        <v>246665432</v>
      </c>
      <c r="K16">
        <v>20</v>
      </c>
      <c r="L16">
        <v>8053.1</v>
      </c>
      <c r="M16">
        <v>43819.15</v>
      </c>
      <c r="N16">
        <v>116.85</v>
      </c>
      <c r="O16" s="2">
        <v>12333271.6</v>
      </c>
    </row>
    <row r="17" spans="1:15" x14ac:dyDescent="0.3">
      <c r="A17" t="s">
        <v>36</v>
      </c>
      <c r="B17" t="s">
        <v>48</v>
      </c>
      <c r="C17" t="s">
        <v>37</v>
      </c>
      <c r="D17" t="s">
        <v>32</v>
      </c>
      <c r="E17" t="s">
        <v>29</v>
      </c>
      <c r="F17">
        <v>10000</v>
      </c>
      <c r="G17">
        <v>140960</v>
      </c>
      <c r="H17">
        <v>731803</v>
      </c>
      <c r="I17">
        <v>2962</v>
      </c>
      <c r="J17">
        <v>211055077</v>
      </c>
      <c r="K17">
        <v>20</v>
      </c>
      <c r="L17">
        <v>7048</v>
      </c>
      <c r="M17">
        <v>36590.15</v>
      </c>
      <c r="N17">
        <v>148.1</v>
      </c>
      <c r="O17" s="2">
        <v>10552753.85</v>
      </c>
    </row>
    <row r="18" spans="1:15" x14ac:dyDescent="0.3">
      <c r="A18" t="s">
        <v>36</v>
      </c>
      <c r="B18" t="s">
        <v>48</v>
      </c>
      <c r="C18" t="s">
        <v>37</v>
      </c>
      <c r="D18" t="s">
        <v>33</v>
      </c>
      <c r="E18" t="s">
        <v>29</v>
      </c>
      <c r="F18">
        <v>10000</v>
      </c>
      <c r="G18">
        <v>115404</v>
      </c>
      <c r="H18">
        <v>586347</v>
      </c>
      <c r="I18">
        <v>3840</v>
      </c>
      <c r="J18">
        <v>177336418</v>
      </c>
      <c r="K18">
        <v>20</v>
      </c>
      <c r="L18">
        <v>5770.2</v>
      </c>
      <c r="M18">
        <v>29317.35</v>
      </c>
      <c r="N18">
        <v>192</v>
      </c>
      <c r="O18" s="2">
        <v>8866820.9000000004</v>
      </c>
    </row>
    <row r="19" spans="1:15" x14ac:dyDescent="0.3">
      <c r="A19" t="s">
        <v>36</v>
      </c>
      <c r="B19" t="s">
        <v>48</v>
      </c>
      <c r="C19" t="s">
        <v>37</v>
      </c>
      <c r="D19" t="s">
        <v>34</v>
      </c>
      <c r="E19" t="s">
        <v>29</v>
      </c>
      <c r="F19">
        <v>10000</v>
      </c>
      <c r="G19">
        <v>91528</v>
      </c>
      <c r="H19">
        <v>476522</v>
      </c>
      <c r="I19">
        <v>4195</v>
      </c>
      <c r="J19">
        <v>145916482</v>
      </c>
      <c r="K19">
        <v>20</v>
      </c>
      <c r="L19">
        <v>4576.3999999999996</v>
      </c>
      <c r="M19">
        <v>23826.1</v>
      </c>
      <c r="N19">
        <v>209.75</v>
      </c>
      <c r="O19" s="2">
        <v>7295824.0999999996</v>
      </c>
    </row>
    <row r="20" spans="1:15" x14ac:dyDescent="0.3">
      <c r="A20" t="s">
        <v>38</v>
      </c>
      <c r="B20" t="s">
        <v>48</v>
      </c>
      <c r="D20" t="s">
        <v>28</v>
      </c>
      <c r="F20">
        <v>10000</v>
      </c>
      <c r="G20">
        <v>240424</v>
      </c>
      <c r="H20">
        <v>7442582</v>
      </c>
      <c r="I20">
        <v>92</v>
      </c>
      <c r="J20">
        <v>365816417</v>
      </c>
      <c r="K20">
        <v>20</v>
      </c>
      <c r="L20">
        <v>12021.2</v>
      </c>
      <c r="M20">
        <v>372129.1</v>
      </c>
      <c r="N20">
        <v>4.5999999999999996</v>
      </c>
      <c r="O20" s="2">
        <v>18290820.850000001</v>
      </c>
    </row>
    <row r="21" spans="1:15" x14ac:dyDescent="0.3">
      <c r="A21" t="s">
        <v>38</v>
      </c>
      <c r="B21" t="s">
        <v>48</v>
      </c>
      <c r="D21" t="s">
        <v>30</v>
      </c>
      <c r="F21">
        <v>10000</v>
      </c>
      <c r="G21">
        <v>238984</v>
      </c>
      <c r="H21">
        <v>6293665</v>
      </c>
      <c r="I21">
        <v>94</v>
      </c>
      <c r="J21">
        <v>364982767</v>
      </c>
      <c r="K21">
        <v>20</v>
      </c>
      <c r="L21">
        <v>11949.2</v>
      </c>
      <c r="M21">
        <v>314683.25</v>
      </c>
      <c r="N21">
        <v>4.7</v>
      </c>
      <c r="O21" s="2">
        <v>18249138.350000001</v>
      </c>
    </row>
    <row r="22" spans="1:15" x14ac:dyDescent="0.3">
      <c r="A22" t="s">
        <v>38</v>
      </c>
      <c r="B22" t="s">
        <v>48</v>
      </c>
      <c r="D22" t="s">
        <v>31</v>
      </c>
      <c r="F22">
        <v>10000</v>
      </c>
      <c r="G22">
        <v>235159</v>
      </c>
      <c r="H22">
        <v>7239292</v>
      </c>
      <c r="I22">
        <v>91</v>
      </c>
      <c r="J22">
        <v>365040383</v>
      </c>
      <c r="K22">
        <v>20</v>
      </c>
      <c r="L22">
        <v>11757.95</v>
      </c>
      <c r="M22">
        <v>361964.6</v>
      </c>
      <c r="N22">
        <v>4.55</v>
      </c>
      <c r="O22" s="2">
        <v>18252019.149999999</v>
      </c>
    </row>
    <row r="23" spans="1:15" x14ac:dyDescent="0.3">
      <c r="A23" t="s">
        <v>38</v>
      </c>
      <c r="B23" t="s">
        <v>48</v>
      </c>
      <c r="D23" t="s">
        <v>32</v>
      </c>
      <c r="F23">
        <v>10000</v>
      </c>
      <c r="G23">
        <v>235926</v>
      </c>
      <c r="H23">
        <v>7158614</v>
      </c>
      <c r="I23">
        <v>89</v>
      </c>
      <c r="J23">
        <v>365569597</v>
      </c>
      <c r="K23">
        <v>20</v>
      </c>
      <c r="L23">
        <v>11796.3</v>
      </c>
      <c r="M23">
        <v>357930.7</v>
      </c>
      <c r="N23">
        <v>4.45</v>
      </c>
      <c r="O23" s="2">
        <v>18278479.850000001</v>
      </c>
    </row>
    <row r="24" spans="1:15" x14ac:dyDescent="0.3">
      <c r="A24" t="s">
        <v>38</v>
      </c>
      <c r="B24" t="s">
        <v>48</v>
      </c>
      <c r="D24" t="s">
        <v>33</v>
      </c>
      <c r="F24">
        <v>10000</v>
      </c>
      <c r="G24">
        <v>246018</v>
      </c>
      <c r="H24">
        <v>7535315</v>
      </c>
      <c r="I24">
        <v>92</v>
      </c>
      <c r="J24">
        <v>365142829</v>
      </c>
      <c r="K24">
        <v>20</v>
      </c>
      <c r="L24">
        <v>12300.9</v>
      </c>
      <c r="M24">
        <v>376765.75</v>
      </c>
      <c r="N24">
        <v>4.5999999999999996</v>
      </c>
      <c r="O24" s="2">
        <v>18257141.449999999</v>
      </c>
    </row>
    <row r="25" spans="1:15" x14ac:dyDescent="0.3">
      <c r="A25" t="s">
        <v>38</v>
      </c>
      <c r="B25" t="s">
        <v>48</v>
      </c>
      <c r="D25" t="s">
        <v>34</v>
      </c>
      <c r="F25">
        <v>10000</v>
      </c>
      <c r="G25">
        <v>235696</v>
      </c>
      <c r="H25">
        <v>7046845</v>
      </c>
      <c r="I25">
        <v>92</v>
      </c>
      <c r="J25">
        <v>365281239</v>
      </c>
      <c r="K25">
        <v>20</v>
      </c>
      <c r="L25">
        <v>11784.8</v>
      </c>
      <c r="M25">
        <v>352342.25</v>
      </c>
      <c r="N25">
        <v>4.5999999999999996</v>
      </c>
      <c r="O25" s="2">
        <v>18264061.949999999</v>
      </c>
    </row>
    <row r="26" spans="1:15" x14ac:dyDescent="0.3">
      <c r="A26" t="s">
        <v>39</v>
      </c>
      <c r="B26" t="s">
        <v>48</v>
      </c>
      <c r="C26" t="s">
        <v>37</v>
      </c>
      <c r="D26" t="s">
        <v>28</v>
      </c>
      <c r="F26">
        <v>10000</v>
      </c>
      <c r="G26">
        <v>218566</v>
      </c>
      <c r="H26">
        <v>4212898</v>
      </c>
      <c r="I26">
        <v>226</v>
      </c>
      <c r="J26">
        <v>333508877</v>
      </c>
      <c r="K26">
        <v>20</v>
      </c>
      <c r="L26">
        <v>10928.3</v>
      </c>
      <c r="M26">
        <v>210644.9</v>
      </c>
      <c r="N26">
        <v>11.3</v>
      </c>
      <c r="O26" s="2">
        <v>16675443.85</v>
      </c>
    </row>
    <row r="27" spans="1:15" x14ac:dyDescent="0.3">
      <c r="A27" t="s">
        <v>39</v>
      </c>
      <c r="B27" t="s">
        <v>48</v>
      </c>
      <c r="C27" t="s">
        <v>37</v>
      </c>
      <c r="D27" t="s">
        <v>30</v>
      </c>
      <c r="F27">
        <v>10000</v>
      </c>
      <c r="G27">
        <v>161108</v>
      </c>
      <c r="H27">
        <v>453501</v>
      </c>
      <c r="I27">
        <v>7807</v>
      </c>
      <c r="J27">
        <v>239160157</v>
      </c>
      <c r="K27">
        <v>20</v>
      </c>
      <c r="L27">
        <v>8055.4</v>
      </c>
      <c r="M27">
        <v>22675.05</v>
      </c>
      <c r="N27">
        <v>390.35</v>
      </c>
      <c r="O27" s="2">
        <v>11958007.85</v>
      </c>
    </row>
    <row r="28" spans="1:15" x14ac:dyDescent="0.3">
      <c r="A28" t="s">
        <v>39</v>
      </c>
      <c r="B28" t="s">
        <v>48</v>
      </c>
      <c r="C28" t="s">
        <v>37</v>
      </c>
      <c r="D28" t="s">
        <v>31</v>
      </c>
      <c r="F28">
        <v>10000</v>
      </c>
      <c r="G28">
        <v>118393</v>
      </c>
      <c r="H28">
        <v>363017</v>
      </c>
      <c r="I28">
        <v>13804</v>
      </c>
      <c r="J28">
        <v>183914929</v>
      </c>
      <c r="K28">
        <v>20</v>
      </c>
      <c r="L28">
        <v>5919.65</v>
      </c>
      <c r="M28">
        <v>18150.849999999999</v>
      </c>
      <c r="N28">
        <v>690.2</v>
      </c>
      <c r="O28" s="2">
        <v>9195746.4499999993</v>
      </c>
    </row>
    <row r="29" spans="1:15" x14ac:dyDescent="0.3">
      <c r="A29" t="s">
        <v>39</v>
      </c>
      <c r="B29" t="s">
        <v>48</v>
      </c>
      <c r="C29" t="s">
        <v>37</v>
      </c>
      <c r="D29" t="s">
        <v>32</v>
      </c>
      <c r="F29">
        <v>10000</v>
      </c>
      <c r="G29">
        <v>92056</v>
      </c>
      <c r="H29">
        <v>299400</v>
      </c>
      <c r="I29">
        <v>18783</v>
      </c>
      <c r="J29">
        <v>146239019</v>
      </c>
      <c r="K29">
        <v>20</v>
      </c>
      <c r="L29">
        <v>4602.8</v>
      </c>
      <c r="M29">
        <v>14970</v>
      </c>
      <c r="N29">
        <v>939.15</v>
      </c>
      <c r="O29" s="2">
        <v>7311950.9500000002</v>
      </c>
    </row>
    <row r="30" spans="1:15" x14ac:dyDescent="0.3">
      <c r="A30" t="s">
        <v>39</v>
      </c>
      <c r="B30" t="s">
        <v>48</v>
      </c>
      <c r="C30" t="s">
        <v>37</v>
      </c>
      <c r="D30" t="s">
        <v>33</v>
      </c>
      <c r="F30">
        <v>10000</v>
      </c>
      <c r="G30">
        <v>76052</v>
      </c>
      <c r="H30">
        <v>252843</v>
      </c>
      <c r="I30">
        <v>22421</v>
      </c>
      <c r="J30">
        <v>118047559</v>
      </c>
      <c r="K30">
        <v>20</v>
      </c>
      <c r="L30">
        <v>3802.6</v>
      </c>
      <c r="M30">
        <v>12642.15</v>
      </c>
      <c r="N30">
        <v>1121.05</v>
      </c>
      <c r="O30" s="2">
        <v>5902377.9500000002</v>
      </c>
    </row>
    <row r="31" spans="1:15" x14ac:dyDescent="0.3">
      <c r="A31" t="s">
        <v>39</v>
      </c>
      <c r="B31" t="s">
        <v>48</v>
      </c>
      <c r="C31" t="s">
        <v>37</v>
      </c>
      <c r="D31" t="s">
        <v>34</v>
      </c>
      <c r="F31">
        <v>10000</v>
      </c>
      <c r="G31">
        <v>58800</v>
      </c>
      <c r="H31">
        <v>203828</v>
      </c>
      <c r="I31">
        <v>24757</v>
      </c>
      <c r="J31">
        <v>93277779</v>
      </c>
      <c r="K31">
        <v>20</v>
      </c>
      <c r="L31">
        <v>2940</v>
      </c>
      <c r="M31">
        <v>10191.4</v>
      </c>
      <c r="N31">
        <v>1237.8499999999999</v>
      </c>
      <c r="O31" s="2">
        <v>4663888.95</v>
      </c>
    </row>
    <row r="32" spans="1:15" x14ac:dyDescent="0.3">
      <c r="A32" t="s">
        <v>40</v>
      </c>
      <c r="B32" t="s">
        <v>48</v>
      </c>
      <c r="C32" t="s">
        <v>41</v>
      </c>
      <c r="D32" t="s">
        <v>28</v>
      </c>
      <c r="F32">
        <v>10000</v>
      </c>
      <c r="G32">
        <v>665634</v>
      </c>
      <c r="H32">
        <v>4904865</v>
      </c>
      <c r="I32">
        <v>20</v>
      </c>
      <c r="J32">
        <v>999900000</v>
      </c>
      <c r="K32">
        <v>20</v>
      </c>
      <c r="L32">
        <v>33281.699999999997</v>
      </c>
      <c r="M32">
        <v>245243.25</v>
      </c>
      <c r="N32">
        <v>1</v>
      </c>
      <c r="O32" s="2">
        <v>49995000</v>
      </c>
    </row>
    <row r="33" spans="1:15" x14ac:dyDescent="0.3">
      <c r="A33" t="s">
        <v>40</v>
      </c>
      <c r="B33" t="s">
        <v>48</v>
      </c>
      <c r="C33" t="s">
        <v>41</v>
      </c>
      <c r="D33" t="s">
        <v>30</v>
      </c>
      <c r="F33">
        <v>10000</v>
      </c>
      <c r="G33">
        <v>267777</v>
      </c>
      <c r="H33">
        <v>891201</v>
      </c>
      <c r="I33">
        <v>7886</v>
      </c>
      <c r="J33">
        <v>412221614</v>
      </c>
      <c r="K33">
        <v>20</v>
      </c>
      <c r="L33">
        <v>13388.85</v>
      </c>
      <c r="M33">
        <v>44560.05</v>
      </c>
      <c r="N33">
        <v>394.3</v>
      </c>
      <c r="O33" s="2">
        <v>20611080.699999999</v>
      </c>
    </row>
    <row r="34" spans="1:15" x14ac:dyDescent="0.3">
      <c r="A34" t="s">
        <v>40</v>
      </c>
      <c r="B34" t="s">
        <v>48</v>
      </c>
      <c r="C34" t="s">
        <v>41</v>
      </c>
      <c r="D34" t="s">
        <v>31</v>
      </c>
      <c r="F34">
        <v>10000</v>
      </c>
      <c r="G34">
        <v>145733</v>
      </c>
      <c r="H34">
        <v>515605</v>
      </c>
      <c r="I34">
        <v>14255</v>
      </c>
      <c r="J34">
        <v>222613576</v>
      </c>
      <c r="K34">
        <v>20</v>
      </c>
      <c r="L34">
        <v>7286.65</v>
      </c>
      <c r="M34">
        <v>25780.25</v>
      </c>
      <c r="N34">
        <v>712.75</v>
      </c>
      <c r="O34" s="2">
        <v>11130678.800000001</v>
      </c>
    </row>
    <row r="35" spans="1:15" x14ac:dyDescent="0.3">
      <c r="A35" t="s">
        <v>40</v>
      </c>
      <c r="B35" t="s">
        <v>48</v>
      </c>
      <c r="C35" t="s">
        <v>41</v>
      </c>
      <c r="D35" t="s">
        <v>32</v>
      </c>
      <c r="F35">
        <v>10000</v>
      </c>
      <c r="G35">
        <v>85158</v>
      </c>
      <c r="H35">
        <v>330408</v>
      </c>
      <c r="I35">
        <v>19369</v>
      </c>
      <c r="J35">
        <v>134818882</v>
      </c>
      <c r="K35">
        <v>20</v>
      </c>
      <c r="L35">
        <v>4257.8999999999996</v>
      </c>
      <c r="M35">
        <v>16520.400000000001</v>
      </c>
      <c r="N35">
        <v>968.45</v>
      </c>
      <c r="O35" s="2">
        <v>6740944.0999999996</v>
      </c>
    </row>
    <row r="36" spans="1:15" x14ac:dyDescent="0.3">
      <c r="A36" t="s">
        <v>40</v>
      </c>
      <c r="B36" t="s">
        <v>48</v>
      </c>
      <c r="C36" t="s">
        <v>41</v>
      </c>
      <c r="D36" t="s">
        <v>33</v>
      </c>
      <c r="F36">
        <v>10000</v>
      </c>
      <c r="G36">
        <v>57777</v>
      </c>
      <c r="H36">
        <v>229660</v>
      </c>
      <c r="I36">
        <v>22983</v>
      </c>
      <c r="J36">
        <v>89467804</v>
      </c>
      <c r="K36">
        <v>20</v>
      </c>
      <c r="L36">
        <v>2888.85</v>
      </c>
      <c r="M36">
        <v>11483</v>
      </c>
      <c r="N36">
        <v>1149.1500000000001</v>
      </c>
      <c r="O36" s="2">
        <v>4473390.2</v>
      </c>
    </row>
    <row r="37" spans="1:15" x14ac:dyDescent="0.3">
      <c r="A37" t="s">
        <v>40</v>
      </c>
      <c r="B37" t="s">
        <v>48</v>
      </c>
      <c r="C37" t="s">
        <v>41</v>
      </c>
      <c r="D37" t="s">
        <v>34</v>
      </c>
      <c r="F37">
        <v>10000</v>
      </c>
      <c r="G37">
        <v>38668</v>
      </c>
      <c r="H37">
        <v>168207</v>
      </c>
      <c r="I37">
        <v>25552</v>
      </c>
      <c r="J37">
        <v>62437157</v>
      </c>
      <c r="K37">
        <v>20</v>
      </c>
      <c r="L37">
        <v>1933.4</v>
      </c>
      <c r="M37">
        <v>8410.35</v>
      </c>
      <c r="N37">
        <v>1277.5999999999999</v>
      </c>
      <c r="O37" s="2">
        <v>3121857.85</v>
      </c>
    </row>
    <row r="38" spans="1:15" x14ac:dyDescent="0.3">
      <c r="A38" t="s">
        <v>42</v>
      </c>
      <c r="B38" t="s">
        <v>48</v>
      </c>
      <c r="F38">
        <v>10000</v>
      </c>
      <c r="G38">
        <v>5865</v>
      </c>
      <c r="H38">
        <v>6664</v>
      </c>
      <c r="I38">
        <v>30348</v>
      </c>
      <c r="J38">
        <v>1791518</v>
      </c>
      <c r="K38">
        <v>20</v>
      </c>
      <c r="L38">
        <v>293.25</v>
      </c>
      <c r="M38">
        <v>333.2</v>
      </c>
      <c r="N38">
        <v>1517.4</v>
      </c>
      <c r="O38" s="2">
        <v>89575.9</v>
      </c>
    </row>
    <row r="39" spans="1:15" x14ac:dyDescent="0.3">
      <c r="A39" t="s">
        <v>44</v>
      </c>
      <c r="B39" t="s">
        <v>48</v>
      </c>
      <c r="F39">
        <v>10000</v>
      </c>
      <c r="G39">
        <v>8118</v>
      </c>
      <c r="H39">
        <v>28545</v>
      </c>
      <c r="I39">
        <v>28947</v>
      </c>
      <c r="J39">
        <v>10679468</v>
      </c>
      <c r="K39">
        <v>20</v>
      </c>
      <c r="L39">
        <v>405.9</v>
      </c>
      <c r="M39">
        <v>1427.25</v>
      </c>
      <c r="N39">
        <v>1447.35</v>
      </c>
      <c r="O39" s="2">
        <v>533973.4</v>
      </c>
    </row>
    <row r="40" spans="1:15" x14ac:dyDescent="0.3">
      <c r="A40" t="s">
        <v>45</v>
      </c>
      <c r="B40" t="s">
        <v>48</v>
      </c>
      <c r="F40">
        <v>10000</v>
      </c>
      <c r="G40">
        <v>14376</v>
      </c>
      <c r="H40">
        <v>46990</v>
      </c>
      <c r="I40">
        <v>29978</v>
      </c>
      <c r="J40">
        <v>18631054</v>
      </c>
      <c r="K40">
        <v>20</v>
      </c>
      <c r="L40">
        <v>718.8</v>
      </c>
      <c r="M40">
        <v>2349.5</v>
      </c>
      <c r="N40">
        <v>1498.9</v>
      </c>
      <c r="O40" s="2">
        <v>931552.7</v>
      </c>
    </row>
    <row r="41" spans="1:15" x14ac:dyDescent="0.3">
      <c r="A41" t="s">
        <v>43</v>
      </c>
      <c r="B41" t="s">
        <v>48</v>
      </c>
      <c r="F41">
        <v>10000</v>
      </c>
      <c r="G41">
        <v>6153</v>
      </c>
      <c r="H41">
        <v>32590</v>
      </c>
      <c r="I41">
        <v>11296</v>
      </c>
      <c r="J41">
        <v>2493164</v>
      </c>
      <c r="K41">
        <v>20</v>
      </c>
      <c r="L41">
        <v>307.64999999999998</v>
      </c>
      <c r="M41">
        <v>1629.5</v>
      </c>
      <c r="N41">
        <v>564.79999999999995</v>
      </c>
      <c r="O41" s="2">
        <v>124658.2</v>
      </c>
    </row>
  </sheetData>
  <autoFilter ref="A1:O1" xr:uid="{8B6EBD3C-C153-4344-B097-396F6EB4998A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AD31F8-5EAE-422F-9772-C0E94819C157}">
  <sheetPr codeName="Sheet2"/>
  <dimension ref="A1:O41"/>
  <sheetViews>
    <sheetView workbookViewId="0">
      <selection activeCell="B6" sqref="B6"/>
    </sheetView>
  </sheetViews>
  <sheetFormatPr defaultRowHeight="14.4" x14ac:dyDescent="0.3"/>
  <cols>
    <col min="1" max="1" width="39.44140625" customWidth="1"/>
    <col min="2" max="2" width="34.5546875" customWidth="1"/>
    <col min="3" max="3" width="32.5546875" customWidth="1"/>
    <col min="4" max="4" width="19.44140625" customWidth="1"/>
    <col min="6" max="6" width="16.6640625" customWidth="1"/>
    <col min="7" max="7" width="28.6640625" hidden="1" customWidth="1"/>
    <col min="8" max="8" width="31.33203125" hidden="1" customWidth="1"/>
    <col min="9" max="9" width="25.21875" hidden="1" customWidth="1"/>
    <col min="10" max="11" width="18.77734375" hidden="1" customWidth="1"/>
    <col min="12" max="13" width="17.109375" customWidth="1"/>
    <col min="14" max="14" width="17" customWidth="1"/>
    <col min="15" max="15" width="16.77734375" customWidth="1"/>
  </cols>
  <sheetData>
    <row r="1" spans="1:15" x14ac:dyDescent="0.3">
      <c r="A1" t="s">
        <v>10</v>
      </c>
      <c r="B1" t="s">
        <v>11</v>
      </c>
      <c r="C1" t="s">
        <v>12</v>
      </c>
      <c r="D1" t="s">
        <v>13</v>
      </c>
      <c r="E1" t="s">
        <v>14</v>
      </c>
      <c r="F1" t="s">
        <v>15</v>
      </c>
      <c r="G1" t="s">
        <v>16</v>
      </c>
      <c r="H1" t="s">
        <v>17</v>
      </c>
      <c r="I1" t="s">
        <v>18</v>
      </c>
      <c r="J1" t="s">
        <v>19</v>
      </c>
      <c r="K1" t="s">
        <v>20</v>
      </c>
      <c r="L1" t="s">
        <v>21</v>
      </c>
      <c r="M1" t="s">
        <v>22</v>
      </c>
      <c r="N1" t="s">
        <v>23</v>
      </c>
      <c r="O1" t="s">
        <v>24</v>
      </c>
    </row>
    <row r="2" spans="1:15" x14ac:dyDescent="0.3">
      <c r="A2" t="s">
        <v>25</v>
      </c>
      <c r="B2" t="s">
        <v>26</v>
      </c>
      <c r="C2" t="s">
        <v>27</v>
      </c>
      <c r="D2" t="s">
        <v>28</v>
      </c>
      <c r="E2" t="s">
        <v>29</v>
      </c>
      <c r="F2">
        <v>20000</v>
      </c>
      <c r="G2">
        <v>960844</v>
      </c>
      <c r="H2">
        <v>20852169</v>
      </c>
      <c r="I2">
        <v>537</v>
      </c>
      <c r="J2">
        <v>1205320682</v>
      </c>
      <c r="K2">
        <v>20</v>
      </c>
      <c r="L2">
        <v>50570.73684210526</v>
      </c>
      <c r="M2">
        <v>1097482.5789473683</v>
      </c>
      <c r="N2">
        <v>28.263157894736842</v>
      </c>
      <c r="O2">
        <v>63437930.631578945</v>
      </c>
    </row>
    <row r="3" spans="1:15" x14ac:dyDescent="0.3">
      <c r="A3" t="s">
        <v>25</v>
      </c>
      <c r="B3" t="s">
        <v>26</v>
      </c>
      <c r="C3" t="s">
        <v>27</v>
      </c>
      <c r="D3" t="s">
        <v>30</v>
      </c>
      <c r="E3" t="s">
        <v>29</v>
      </c>
      <c r="F3">
        <v>20000</v>
      </c>
      <c r="G3">
        <v>509632</v>
      </c>
      <c r="H3">
        <v>2026962</v>
      </c>
      <c r="I3">
        <v>14333</v>
      </c>
      <c r="J3">
        <v>646632978</v>
      </c>
      <c r="K3">
        <v>20</v>
      </c>
      <c r="L3">
        <v>25481.599999999999</v>
      </c>
      <c r="M3">
        <v>101348.1</v>
      </c>
      <c r="N3">
        <v>716.65</v>
      </c>
      <c r="O3">
        <v>32331648.899999999</v>
      </c>
    </row>
    <row r="4" spans="1:15" x14ac:dyDescent="0.3">
      <c r="A4" t="s">
        <v>25</v>
      </c>
      <c r="B4" t="s">
        <v>26</v>
      </c>
      <c r="C4" t="s">
        <v>27</v>
      </c>
      <c r="D4" t="s">
        <v>31</v>
      </c>
      <c r="E4" t="s">
        <v>29</v>
      </c>
      <c r="F4">
        <v>20000</v>
      </c>
      <c r="G4">
        <v>292525</v>
      </c>
      <c r="H4">
        <v>1272826</v>
      </c>
      <c r="I4">
        <v>26269</v>
      </c>
      <c r="J4">
        <v>357813567</v>
      </c>
      <c r="K4">
        <v>20</v>
      </c>
      <c r="L4">
        <v>14626.25</v>
      </c>
      <c r="M4">
        <v>63641.3</v>
      </c>
      <c r="N4">
        <v>1313.45</v>
      </c>
      <c r="O4">
        <v>17890678.350000001</v>
      </c>
    </row>
    <row r="5" spans="1:15" x14ac:dyDescent="0.3">
      <c r="A5" t="s">
        <v>25</v>
      </c>
      <c r="B5" t="s">
        <v>26</v>
      </c>
      <c r="C5" t="s">
        <v>27</v>
      </c>
      <c r="D5" t="s">
        <v>32</v>
      </c>
      <c r="E5" t="s">
        <v>29</v>
      </c>
      <c r="F5">
        <v>20000</v>
      </c>
      <c r="G5">
        <v>188572</v>
      </c>
      <c r="H5">
        <v>896844</v>
      </c>
      <c r="I5">
        <v>35046</v>
      </c>
      <c r="J5">
        <v>226015231</v>
      </c>
      <c r="K5">
        <v>20</v>
      </c>
      <c r="L5">
        <v>9428.6</v>
      </c>
      <c r="M5">
        <v>44842.2</v>
      </c>
      <c r="N5">
        <v>1752.3</v>
      </c>
      <c r="O5">
        <v>11300761.550000001</v>
      </c>
    </row>
    <row r="6" spans="1:15" x14ac:dyDescent="0.3">
      <c r="A6" t="s">
        <v>25</v>
      </c>
      <c r="B6" t="s">
        <v>26</v>
      </c>
      <c r="C6" t="s">
        <v>27</v>
      </c>
      <c r="D6" t="s">
        <v>33</v>
      </c>
      <c r="E6" t="s">
        <v>29</v>
      </c>
      <c r="F6">
        <v>20000</v>
      </c>
      <c r="G6">
        <v>133091</v>
      </c>
      <c r="H6">
        <v>589002</v>
      </c>
      <c r="I6">
        <v>42155</v>
      </c>
      <c r="J6">
        <v>149831912</v>
      </c>
      <c r="K6">
        <v>20</v>
      </c>
      <c r="L6">
        <v>6654.55</v>
      </c>
      <c r="M6">
        <v>29450.1</v>
      </c>
      <c r="N6">
        <v>2107.75</v>
      </c>
      <c r="O6">
        <v>7491595.5999999996</v>
      </c>
    </row>
    <row r="7" spans="1:15" x14ac:dyDescent="0.3">
      <c r="A7" t="s">
        <v>25</v>
      </c>
      <c r="B7" t="s">
        <v>26</v>
      </c>
      <c r="C7" t="s">
        <v>27</v>
      </c>
      <c r="D7" t="s">
        <v>34</v>
      </c>
      <c r="E7" t="s">
        <v>29</v>
      </c>
      <c r="F7">
        <v>20000</v>
      </c>
      <c r="G7">
        <v>102591</v>
      </c>
      <c r="H7">
        <v>433161</v>
      </c>
      <c r="I7">
        <v>46902</v>
      </c>
      <c r="J7">
        <v>107553548</v>
      </c>
      <c r="K7">
        <v>20</v>
      </c>
      <c r="L7">
        <v>5129.55</v>
      </c>
      <c r="M7">
        <v>21658.05</v>
      </c>
      <c r="N7">
        <v>2345.1</v>
      </c>
      <c r="O7">
        <v>5377677.4000000004</v>
      </c>
    </row>
    <row r="8" spans="1:15" x14ac:dyDescent="0.3">
      <c r="A8" t="s">
        <v>35</v>
      </c>
      <c r="B8" t="s">
        <v>26</v>
      </c>
      <c r="D8" t="s">
        <v>28</v>
      </c>
      <c r="E8" t="s">
        <v>29</v>
      </c>
      <c r="F8">
        <v>20000</v>
      </c>
      <c r="G8">
        <v>592060</v>
      </c>
      <c r="H8">
        <v>2497927</v>
      </c>
      <c r="I8">
        <v>531</v>
      </c>
      <c r="J8">
        <v>735459631</v>
      </c>
      <c r="K8">
        <v>20</v>
      </c>
      <c r="L8">
        <v>29603</v>
      </c>
      <c r="M8">
        <v>124896.35</v>
      </c>
      <c r="N8">
        <v>26.55</v>
      </c>
      <c r="O8">
        <v>36772981.549999997</v>
      </c>
    </row>
    <row r="9" spans="1:15" x14ac:dyDescent="0.3">
      <c r="A9" t="s">
        <v>35</v>
      </c>
      <c r="B9" t="s">
        <v>26</v>
      </c>
      <c r="D9" t="s">
        <v>30</v>
      </c>
      <c r="E9" t="s">
        <v>29</v>
      </c>
      <c r="F9">
        <v>20000</v>
      </c>
      <c r="G9">
        <v>403617</v>
      </c>
      <c r="H9">
        <v>1498087</v>
      </c>
      <c r="I9">
        <v>18719</v>
      </c>
      <c r="J9">
        <v>506273363</v>
      </c>
      <c r="K9">
        <v>20</v>
      </c>
      <c r="L9">
        <v>20180.849999999999</v>
      </c>
      <c r="M9">
        <v>74904.350000000006</v>
      </c>
      <c r="N9">
        <v>935.95</v>
      </c>
      <c r="O9">
        <v>25313668.149999999</v>
      </c>
    </row>
    <row r="10" spans="1:15" x14ac:dyDescent="0.3">
      <c r="A10" t="s">
        <v>35</v>
      </c>
      <c r="B10" t="s">
        <v>26</v>
      </c>
      <c r="D10" t="s">
        <v>31</v>
      </c>
      <c r="E10" t="s">
        <v>29</v>
      </c>
      <c r="F10">
        <v>20000</v>
      </c>
      <c r="G10">
        <v>241293</v>
      </c>
      <c r="H10">
        <v>965664</v>
      </c>
      <c r="I10">
        <v>33112</v>
      </c>
      <c r="J10">
        <v>314484596</v>
      </c>
      <c r="K10">
        <v>20</v>
      </c>
      <c r="L10">
        <v>12064.65</v>
      </c>
      <c r="M10">
        <v>48283.199999999997</v>
      </c>
      <c r="N10">
        <v>1655.6</v>
      </c>
      <c r="O10">
        <v>15724229.800000001</v>
      </c>
    </row>
    <row r="11" spans="1:15" x14ac:dyDescent="0.3">
      <c r="A11" t="s">
        <v>35</v>
      </c>
      <c r="B11" t="s">
        <v>26</v>
      </c>
      <c r="D11" t="s">
        <v>32</v>
      </c>
      <c r="E11" t="s">
        <v>29</v>
      </c>
      <c r="F11">
        <v>20000</v>
      </c>
      <c r="G11">
        <v>131501</v>
      </c>
      <c r="H11">
        <v>526931</v>
      </c>
      <c r="I11">
        <v>45017</v>
      </c>
      <c r="J11">
        <v>154374939</v>
      </c>
      <c r="K11">
        <v>20</v>
      </c>
      <c r="L11">
        <v>6575.05</v>
      </c>
      <c r="M11">
        <v>26346.55</v>
      </c>
      <c r="N11">
        <v>2250.85</v>
      </c>
      <c r="O11">
        <v>7718746.9500000002</v>
      </c>
    </row>
    <row r="12" spans="1:15" x14ac:dyDescent="0.3">
      <c r="A12" t="s">
        <v>35</v>
      </c>
      <c r="B12" t="s">
        <v>26</v>
      </c>
      <c r="D12" t="s">
        <v>33</v>
      </c>
      <c r="E12" t="s">
        <v>29</v>
      </c>
      <c r="F12">
        <v>20000</v>
      </c>
      <c r="G12">
        <v>56546</v>
      </c>
      <c r="H12">
        <v>146923</v>
      </c>
      <c r="I12">
        <v>53125</v>
      </c>
      <c r="J12">
        <v>46209014</v>
      </c>
      <c r="K12">
        <v>20</v>
      </c>
      <c r="L12">
        <v>2827.3</v>
      </c>
      <c r="M12">
        <v>7346.15</v>
      </c>
      <c r="N12">
        <v>2656.25</v>
      </c>
      <c r="O12">
        <v>2310450.7000000002</v>
      </c>
    </row>
    <row r="13" spans="1:15" x14ac:dyDescent="0.3">
      <c r="A13" t="s">
        <v>35</v>
      </c>
      <c r="B13" t="s">
        <v>26</v>
      </c>
      <c r="D13" t="s">
        <v>34</v>
      </c>
      <c r="E13" t="s">
        <v>29</v>
      </c>
      <c r="F13">
        <v>20000</v>
      </c>
      <c r="G13">
        <v>33097</v>
      </c>
      <c r="H13">
        <v>14201</v>
      </c>
      <c r="I13">
        <v>56799</v>
      </c>
      <c r="J13">
        <v>3260382</v>
      </c>
      <c r="K13">
        <v>20</v>
      </c>
      <c r="L13">
        <v>1654.85</v>
      </c>
      <c r="M13">
        <v>710.05</v>
      </c>
      <c r="N13">
        <v>2839.95</v>
      </c>
      <c r="O13">
        <v>163019.1</v>
      </c>
    </row>
    <row r="14" spans="1:15" x14ac:dyDescent="0.3">
      <c r="A14" t="s">
        <v>36</v>
      </c>
      <c r="B14" t="s">
        <v>26</v>
      </c>
      <c r="C14" t="s">
        <v>37</v>
      </c>
      <c r="D14" t="s">
        <v>28</v>
      </c>
      <c r="E14" t="s">
        <v>29</v>
      </c>
      <c r="F14">
        <v>20000</v>
      </c>
      <c r="G14">
        <v>462598</v>
      </c>
      <c r="H14">
        <v>8843877</v>
      </c>
      <c r="I14">
        <v>5652</v>
      </c>
      <c r="J14">
        <v>626228470</v>
      </c>
      <c r="K14">
        <v>20</v>
      </c>
      <c r="L14">
        <v>23129.9</v>
      </c>
      <c r="M14">
        <v>442193.85</v>
      </c>
      <c r="N14">
        <v>282.60000000000002</v>
      </c>
      <c r="O14">
        <v>31311423.5</v>
      </c>
    </row>
    <row r="15" spans="1:15" x14ac:dyDescent="0.3">
      <c r="A15" t="s">
        <v>36</v>
      </c>
      <c r="B15" t="s">
        <v>26</v>
      </c>
      <c r="C15" t="s">
        <v>37</v>
      </c>
      <c r="D15" t="s">
        <v>30</v>
      </c>
      <c r="E15" t="s">
        <v>29</v>
      </c>
      <c r="F15">
        <v>20000</v>
      </c>
      <c r="G15">
        <v>382641</v>
      </c>
      <c r="H15">
        <v>1326940</v>
      </c>
      <c r="I15">
        <v>13116</v>
      </c>
      <c r="J15">
        <v>529001781</v>
      </c>
      <c r="K15">
        <v>20</v>
      </c>
      <c r="L15">
        <v>19132.05</v>
      </c>
      <c r="M15">
        <v>66347</v>
      </c>
      <c r="N15">
        <v>655.8</v>
      </c>
      <c r="O15">
        <v>26450089.050000001</v>
      </c>
    </row>
    <row r="16" spans="1:15" x14ac:dyDescent="0.3">
      <c r="A16" t="s">
        <v>36</v>
      </c>
      <c r="B16" t="s">
        <v>26</v>
      </c>
      <c r="C16" t="s">
        <v>37</v>
      </c>
      <c r="D16" t="s">
        <v>31</v>
      </c>
      <c r="E16" t="s">
        <v>29</v>
      </c>
      <c r="F16">
        <v>20000</v>
      </c>
      <c r="G16">
        <v>336169</v>
      </c>
      <c r="H16">
        <v>1173894</v>
      </c>
      <c r="I16">
        <v>20791</v>
      </c>
      <c r="J16">
        <v>450317919</v>
      </c>
      <c r="K16">
        <v>20</v>
      </c>
      <c r="L16">
        <v>16808.45</v>
      </c>
      <c r="M16">
        <v>58694.7</v>
      </c>
      <c r="N16">
        <v>1039.55</v>
      </c>
      <c r="O16">
        <v>22515895.949999999</v>
      </c>
    </row>
    <row r="17" spans="1:15" x14ac:dyDescent="0.3">
      <c r="A17" t="s">
        <v>36</v>
      </c>
      <c r="B17" t="s">
        <v>26</v>
      </c>
      <c r="C17" t="s">
        <v>37</v>
      </c>
      <c r="D17" t="s">
        <v>32</v>
      </c>
      <c r="E17" t="s">
        <v>29</v>
      </c>
      <c r="F17">
        <v>20000</v>
      </c>
      <c r="G17">
        <v>283068</v>
      </c>
      <c r="H17">
        <v>1078955</v>
      </c>
      <c r="I17">
        <v>25818</v>
      </c>
      <c r="J17">
        <v>379483286</v>
      </c>
      <c r="K17">
        <v>20</v>
      </c>
      <c r="L17">
        <v>14153.4</v>
      </c>
      <c r="M17">
        <v>53947.75</v>
      </c>
      <c r="N17">
        <v>1290.9000000000001</v>
      </c>
      <c r="O17">
        <v>18974164.300000001</v>
      </c>
    </row>
    <row r="18" spans="1:15" x14ac:dyDescent="0.3">
      <c r="A18" t="s">
        <v>36</v>
      </c>
      <c r="B18" t="s">
        <v>26</v>
      </c>
      <c r="C18" t="s">
        <v>37</v>
      </c>
      <c r="D18" t="s">
        <v>33</v>
      </c>
      <c r="E18" t="s">
        <v>29</v>
      </c>
      <c r="F18">
        <v>20000</v>
      </c>
      <c r="G18">
        <v>245095</v>
      </c>
      <c r="H18">
        <v>927897</v>
      </c>
      <c r="I18">
        <v>30917</v>
      </c>
      <c r="J18">
        <v>311934840</v>
      </c>
      <c r="K18">
        <v>20</v>
      </c>
      <c r="L18">
        <v>12254.75</v>
      </c>
      <c r="M18">
        <v>46394.85</v>
      </c>
      <c r="N18">
        <v>1545.85</v>
      </c>
      <c r="O18">
        <v>15596742</v>
      </c>
    </row>
    <row r="19" spans="1:15" x14ac:dyDescent="0.3">
      <c r="A19" t="s">
        <v>36</v>
      </c>
      <c r="B19" t="s">
        <v>26</v>
      </c>
      <c r="C19" t="s">
        <v>37</v>
      </c>
      <c r="D19" t="s">
        <v>34</v>
      </c>
      <c r="E19" t="s">
        <v>29</v>
      </c>
      <c r="F19">
        <v>20000</v>
      </c>
      <c r="G19">
        <v>195594</v>
      </c>
      <c r="H19">
        <v>903502</v>
      </c>
      <c r="I19">
        <v>33341</v>
      </c>
      <c r="J19">
        <v>253208132</v>
      </c>
      <c r="K19">
        <v>20</v>
      </c>
      <c r="L19">
        <v>9779.7000000000007</v>
      </c>
      <c r="M19">
        <v>45175.1</v>
      </c>
      <c r="N19">
        <v>1667.05</v>
      </c>
      <c r="O19">
        <v>12660406.6</v>
      </c>
    </row>
    <row r="20" spans="1:15" x14ac:dyDescent="0.3">
      <c r="A20" t="s">
        <v>38</v>
      </c>
      <c r="B20" t="s">
        <v>26</v>
      </c>
      <c r="D20" t="s">
        <v>28</v>
      </c>
      <c r="F20">
        <v>20000</v>
      </c>
      <c r="G20">
        <v>560096</v>
      </c>
      <c r="H20">
        <v>2679021</v>
      </c>
      <c r="I20">
        <v>522</v>
      </c>
      <c r="J20">
        <v>730012968</v>
      </c>
      <c r="K20">
        <v>20</v>
      </c>
      <c r="L20">
        <v>28004.799999999999</v>
      </c>
      <c r="M20">
        <v>133951.04999999999</v>
      </c>
      <c r="N20">
        <v>26.1</v>
      </c>
      <c r="O20">
        <v>36500648.399999999</v>
      </c>
    </row>
    <row r="21" spans="1:15" x14ac:dyDescent="0.3">
      <c r="A21" t="s">
        <v>38</v>
      </c>
      <c r="B21" t="s">
        <v>26</v>
      </c>
      <c r="D21" t="s">
        <v>30</v>
      </c>
      <c r="F21">
        <v>20000</v>
      </c>
      <c r="G21">
        <v>564538</v>
      </c>
      <c r="H21">
        <v>2541778</v>
      </c>
      <c r="I21">
        <v>639</v>
      </c>
      <c r="J21">
        <v>728767119</v>
      </c>
      <c r="K21">
        <v>20</v>
      </c>
      <c r="L21">
        <v>28226.9</v>
      </c>
      <c r="M21">
        <v>127088.9</v>
      </c>
      <c r="N21">
        <v>31.95</v>
      </c>
      <c r="O21">
        <v>36438355.950000003</v>
      </c>
    </row>
    <row r="22" spans="1:15" x14ac:dyDescent="0.3">
      <c r="A22" t="s">
        <v>38</v>
      </c>
      <c r="B22" t="s">
        <v>26</v>
      </c>
      <c r="D22" t="s">
        <v>31</v>
      </c>
      <c r="F22">
        <v>20000</v>
      </c>
      <c r="G22">
        <v>538681</v>
      </c>
      <c r="H22">
        <v>2748798</v>
      </c>
      <c r="I22">
        <v>528</v>
      </c>
      <c r="J22">
        <v>729173949</v>
      </c>
      <c r="K22">
        <v>20</v>
      </c>
      <c r="L22">
        <v>26934.05</v>
      </c>
      <c r="M22">
        <v>137439.9</v>
      </c>
      <c r="N22">
        <v>26.4</v>
      </c>
      <c r="O22">
        <v>36458697.450000003</v>
      </c>
    </row>
    <row r="23" spans="1:15" x14ac:dyDescent="0.3">
      <c r="A23" t="s">
        <v>38</v>
      </c>
      <c r="B23" t="s">
        <v>26</v>
      </c>
      <c r="D23" t="s">
        <v>32</v>
      </c>
      <c r="F23">
        <v>20000</v>
      </c>
      <c r="G23">
        <v>552675</v>
      </c>
      <c r="H23">
        <v>2383219</v>
      </c>
      <c r="I23">
        <v>495</v>
      </c>
      <c r="J23">
        <v>730231197</v>
      </c>
      <c r="K23">
        <v>20</v>
      </c>
      <c r="L23">
        <v>27633.75</v>
      </c>
      <c r="M23">
        <v>119160.95</v>
      </c>
      <c r="N23">
        <v>24.75</v>
      </c>
      <c r="O23">
        <v>36511559.850000001</v>
      </c>
    </row>
    <row r="24" spans="1:15" x14ac:dyDescent="0.3">
      <c r="A24" t="s">
        <v>38</v>
      </c>
      <c r="B24" t="s">
        <v>26</v>
      </c>
      <c r="D24" t="s">
        <v>33</v>
      </c>
      <c r="F24">
        <v>20000</v>
      </c>
      <c r="G24">
        <v>572666</v>
      </c>
      <c r="H24">
        <v>2399608</v>
      </c>
      <c r="I24">
        <v>444</v>
      </c>
      <c r="J24">
        <v>729122334</v>
      </c>
      <c r="K24">
        <v>20</v>
      </c>
      <c r="L24">
        <v>28633.3</v>
      </c>
      <c r="M24">
        <v>119980.4</v>
      </c>
      <c r="N24">
        <v>22.2</v>
      </c>
      <c r="O24">
        <v>36456116.700000003</v>
      </c>
    </row>
    <row r="25" spans="1:15" x14ac:dyDescent="0.3">
      <c r="A25" t="s">
        <v>38</v>
      </c>
      <c r="B25" t="s">
        <v>26</v>
      </c>
      <c r="D25" t="s">
        <v>34</v>
      </c>
      <c r="F25">
        <v>20000</v>
      </c>
      <c r="G25">
        <v>559543</v>
      </c>
      <c r="H25">
        <v>2627517</v>
      </c>
      <c r="I25">
        <v>641</v>
      </c>
      <c r="J25">
        <v>729509737</v>
      </c>
      <c r="K25">
        <v>20</v>
      </c>
      <c r="L25">
        <v>27977.15</v>
      </c>
      <c r="M25">
        <v>131375.85</v>
      </c>
      <c r="N25">
        <v>32.049999999999997</v>
      </c>
      <c r="O25">
        <v>36475486.850000001</v>
      </c>
    </row>
    <row r="26" spans="1:15" x14ac:dyDescent="0.3">
      <c r="A26" t="s">
        <v>39</v>
      </c>
      <c r="B26" t="s">
        <v>26</v>
      </c>
      <c r="C26" t="s">
        <v>37</v>
      </c>
      <c r="D26" t="s">
        <v>28</v>
      </c>
      <c r="F26">
        <v>20000</v>
      </c>
      <c r="G26">
        <v>492549</v>
      </c>
      <c r="H26">
        <v>9391398</v>
      </c>
      <c r="I26">
        <v>5625</v>
      </c>
      <c r="J26">
        <v>619284958</v>
      </c>
      <c r="K26">
        <v>20</v>
      </c>
      <c r="L26">
        <v>24627.45</v>
      </c>
      <c r="M26">
        <v>469569.9</v>
      </c>
      <c r="N26">
        <v>281.25</v>
      </c>
      <c r="O26">
        <v>30964247.899999999</v>
      </c>
    </row>
    <row r="27" spans="1:15" x14ac:dyDescent="0.3">
      <c r="A27" t="s">
        <v>39</v>
      </c>
      <c r="B27" t="s">
        <v>26</v>
      </c>
      <c r="C27" t="s">
        <v>37</v>
      </c>
      <c r="D27" t="s">
        <v>30</v>
      </c>
      <c r="F27">
        <v>20000</v>
      </c>
      <c r="G27">
        <v>333479</v>
      </c>
      <c r="H27">
        <v>1170804</v>
      </c>
      <c r="I27">
        <v>14266</v>
      </c>
      <c r="J27">
        <v>447419409</v>
      </c>
      <c r="K27">
        <v>20</v>
      </c>
      <c r="L27">
        <v>16673.95</v>
      </c>
      <c r="M27">
        <v>58540.2</v>
      </c>
      <c r="N27">
        <v>713.3</v>
      </c>
      <c r="O27">
        <v>22370970.449999999</v>
      </c>
    </row>
    <row r="28" spans="1:15" x14ac:dyDescent="0.3">
      <c r="A28" t="s">
        <v>39</v>
      </c>
      <c r="B28" t="s">
        <v>26</v>
      </c>
      <c r="C28" t="s">
        <v>37</v>
      </c>
      <c r="D28" t="s">
        <v>31</v>
      </c>
      <c r="F28">
        <v>20000</v>
      </c>
      <c r="G28">
        <v>262495</v>
      </c>
      <c r="H28">
        <v>954098</v>
      </c>
      <c r="I28">
        <v>23759</v>
      </c>
      <c r="J28">
        <v>346180961</v>
      </c>
      <c r="K28">
        <v>20</v>
      </c>
      <c r="L28">
        <v>13124.75</v>
      </c>
      <c r="M28">
        <v>47704.9</v>
      </c>
      <c r="N28">
        <v>1187.95</v>
      </c>
      <c r="O28">
        <v>17309048.050000001</v>
      </c>
    </row>
    <row r="29" spans="1:15" x14ac:dyDescent="0.3">
      <c r="A29" t="s">
        <v>39</v>
      </c>
      <c r="B29" t="s">
        <v>26</v>
      </c>
      <c r="C29" t="s">
        <v>37</v>
      </c>
      <c r="D29" t="s">
        <v>32</v>
      </c>
      <c r="F29">
        <v>20000</v>
      </c>
      <c r="G29">
        <v>214442</v>
      </c>
      <c r="H29">
        <v>723576</v>
      </c>
      <c r="I29">
        <v>31504</v>
      </c>
      <c r="J29">
        <v>276029757</v>
      </c>
      <c r="K29">
        <v>20</v>
      </c>
      <c r="L29">
        <v>10722.1</v>
      </c>
      <c r="M29">
        <v>36178.800000000003</v>
      </c>
      <c r="N29">
        <v>1575.2</v>
      </c>
      <c r="O29">
        <v>13801487.85</v>
      </c>
    </row>
    <row r="30" spans="1:15" x14ac:dyDescent="0.3">
      <c r="A30" t="s">
        <v>39</v>
      </c>
      <c r="B30" t="s">
        <v>26</v>
      </c>
      <c r="C30" t="s">
        <v>37</v>
      </c>
      <c r="D30" t="s">
        <v>33</v>
      </c>
      <c r="F30">
        <v>20000</v>
      </c>
      <c r="G30">
        <v>177901</v>
      </c>
      <c r="H30">
        <v>652508</v>
      </c>
      <c r="I30">
        <v>38077</v>
      </c>
      <c r="J30">
        <v>223260737</v>
      </c>
      <c r="K30">
        <v>20</v>
      </c>
      <c r="L30">
        <v>8895.0499999999993</v>
      </c>
      <c r="M30">
        <v>32625.4</v>
      </c>
      <c r="N30">
        <v>1903.85</v>
      </c>
      <c r="O30">
        <v>11163036.85</v>
      </c>
    </row>
    <row r="31" spans="1:15" x14ac:dyDescent="0.3">
      <c r="A31" t="s">
        <v>39</v>
      </c>
      <c r="B31" t="s">
        <v>26</v>
      </c>
      <c r="C31" t="s">
        <v>37</v>
      </c>
      <c r="D31" t="s">
        <v>34</v>
      </c>
      <c r="F31">
        <v>20000</v>
      </c>
      <c r="G31">
        <v>145789</v>
      </c>
      <c r="H31">
        <v>508520</v>
      </c>
      <c r="I31">
        <v>43235</v>
      </c>
      <c r="J31">
        <v>176516094</v>
      </c>
      <c r="K31">
        <v>20</v>
      </c>
      <c r="L31">
        <v>7289.45</v>
      </c>
      <c r="M31">
        <v>25426</v>
      </c>
      <c r="N31">
        <v>2161.75</v>
      </c>
      <c r="O31">
        <v>8825804.6999999993</v>
      </c>
    </row>
    <row r="32" spans="1:15" x14ac:dyDescent="0.3">
      <c r="A32" t="s">
        <v>40</v>
      </c>
      <c r="B32" t="s">
        <v>26</v>
      </c>
      <c r="C32" t="s">
        <v>41</v>
      </c>
      <c r="D32" t="s">
        <v>28</v>
      </c>
      <c r="F32">
        <v>20000</v>
      </c>
      <c r="G32">
        <v>1016224</v>
      </c>
      <c r="H32">
        <v>27489452</v>
      </c>
      <c r="I32">
        <v>416</v>
      </c>
      <c r="J32">
        <v>1281199833</v>
      </c>
      <c r="K32">
        <v>20</v>
      </c>
      <c r="L32">
        <v>50811.199999999997</v>
      </c>
      <c r="M32">
        <v>1374472.6</v>
      </c>
      <c r="N32">
        <v>20.8</v>
      </c>
      <c r="O32">
        <v>64059991.649999999</v>
      </c>
    </row>
    <row r="33" spans="1:15" x14ac:dyDescent="0.3">
      <c r="A33" t="s">
        <v>40</v>
      </c>
      <c r="B33" t="s">
        <v>26</v>
      </c>
      <c r="C33" t="s">
        <v>41</v>
      </c>
      <c r="D33" t="s">
        <v>30</v>
      </c>
      <c r="F33">
        <v>20000</v>
      </c>
      <c r="G33">
        <v>500856</v>
      </c>
      <c r="H33">
        <v>1924002</v>
      </c>
      <c r="I33">
        <v>14253</v>
      </c>
      <c r="J33">
        <v>641506287</v>
      </c>
      <c r="K33">
        <v>20</v>
      </c>
      <c r="L33">
        <v>25042.799999999999</v>
      </c>
      <c r="M33">
        <v>96200.1</v>
      </c>
      <c r="N33">
        <v>712.65</v>
      </c>
      <c r="O33">
        <v>32075314.350000001</v>
      </c>
    </row>
    <row r="34" spans="1:15" x14ac:dyDescent="0.3">
      <c r="A34" t="s">
        <v>40</v>
      </c>
      <c r="B34" t="s">
        <v>26</v>
      </c>
      <c r="C34" t="s">
        <v>41</v>
      </c>
      <c r="D34" t="s">
        <v>31</v>
      </c>
      <c r="F34">
        <v>20000</v>
      </c>
      <c r="G34">
        <v>291963</v>
      </c>
      <c r="H34">
        <v>1283988</v>
      </c>
      <c r="I34">
        <v>25660</v>
      </c>
      <c r="J34">
        <v>365818409</v>
      </c>
      <c r="K34">
        <v>20</v>
      </c>
      <c r="L34">
        <v>14598.15</v>
      </c>
      <c r="M34">
        <v>64199.4</v>
      </c>
      <c r="N34">
        <v>1283</v>
      </c>
      <c r="O34">
        <v>18290920.449999999</v>
      </c>
    </row>
    <row r="35" spans="1:15" x14ac:dyDescent="0.3">
      <c r="A35" t="s">
        <v>40</v>
      </c>
      <c r="B35" t="s">
        <v>26</v>
      </c>
      <c r="C35" t="s">
        <v>41</v>
      </c>
      <c r="D35" t="s">
        <v>32</v>
      </c>
      <c r="F35">
        <v>20000</v>
      </c>
      <c r="G35">
        <v>187352</v>
      </c>
      <c r="H35">
        <v>900578</v>
      </c>
      <c r="I35">
        <v>34892</v>
      </c>
      <c r="J35">
        <v>226477413</v>
      </c>
      <c r="K35">
        <v>20</v>
      </c>
      <c r="L35">
        <v>9367.6</v>
      </c>
      <c r="M35">
        <v>45028.9</v>
      </c>
      <c r="N35">
        <v>1744.6</v>
      </c>
      <c r="O35">
        <v>11323870.65</v>
      </c>
    </row>
    <row r="36" spans="1:15" x14ac:dyDescent="0.3">
      <c r="A36" t="s">
        <v>40</v>
      </c>
      <c r="B36" t="s">
        <v>26</v>
      </c>
      <c r="C36" t="s">
        <v>41</v>
      </c>
      <c r="D36" t="s">
        <v>33</v>
      </c>
      <c r="F36">
        <v>20000</v>
      </c>
      <c r="G36">
        <v>130812</v>
      </c>
      <c r="H36">
        <v>605031</v>
      </c>
      <c r="I36">
        <v>41760</v>
      </c>
      <c r="J36">
        <v>152168105</v>
      </c>
      <c r="K36">
        <v>20</v>
      </c>
      <c r="L36">
        <v>6540.6</v>
      </c>
      <c r="M36">
        <v>30251.55</v>
      </c>
      <c r="N36">
        <v>2088</v>
      </c>
      <c r="O36">
        <v>7608405.25</v>
      </c>
    </row>
    <row r="37" spans="1:15" x14ac:dyDescent="0.3">
      <c r="A37" t="s">
        <v>40</v>
      </c>
      <c r="B37" t="s">
        <v>26</v>
      </c>
      <c r="C37" t="s">
        <v>41</v>
      </c>
      <c r="D37" t="s">
        <v>34</v>
      </c>
      <c r="F37">
        <v>20000</v>
      </c>
      <c r="G37">
        <v>101494</v>
      </c>
      <c r="H37">
        <v>416131</v>
      </c>
      <c r="I37">
        <v>46523</v>
      </c>
      <c r="J37">
        <v>107446102</v>
      </c>
      <c r="K37">
        <v>20</v>
      </c>
      <c r="L37">
        <v>5074.7</v>
      </c>
      <c r="M37">
        <v>20806.55</v>
      </c>
      <c r="N37">
        <v>2326.15</v>
      </c>
      <c r="O37">
        <v>5372305.0999999996</v>
      </c>
    </row>
    <row r="38" spans="1:15" x14ac:dyDescent="0.3">
      <c r="A38" t="s">
        <v>42</v>
      </c>
      <c r="B38" t="s">
        <v>26</v>
      </c>
      <c r="F38">
        <v>20000</v>
      </c>
      <c r="G38">
        <v>31960</v>
      </c>
      <c r="H38">
        <v>15099</v>
      </c>
      <c r="I38">
        <v>54442</v>
      </c>
      <c r="J38">
        <v>3475157</v>
      </c>
      <c r="K38">
        <v>20</v>
      </c>
      <c r="L38">
        <v>1598</v>
      </c>
      <c r="M38">
        <v>754.95</v>
      </c>
      <c r="N38">
        <v>2722.1</v>
      </c>
      <c r="O38">
        <v>173757.85</v>
      </c>
    </row>
    <row r="39" spans="1:15" x14ac:dyDescent="0.3">
      <c r="A39" t="s">
        <v>44</v>
      </c>
      <c r="B39" t="s">
        <v>26</v>
      </c>
      <c r="F39">
        <v>20000</v>
      </c>
      <c r="G39">
        <v>36465</v>
      </c>
      <c r="H39">
        <v>59833</v>
      </c>
      <c r="I39">
        <v>52042</v>
      </c>
      <c r="J39">
        <v>19931879</v>
      </c>
      <c r="K39">
        <v>20</v>
      </c>
      <c r="L39">
        <v>1823.25</v>
      </c>
      <c r="M39">
        <v>2991.65</v>
      </c>
      <c r="N39">
        <v>2602.1</v>
      </c>
      <c r="O39">
        <v>996593.95</v>
      </c>
    </row>
    <row r="40" spans="1:15" x14ac:dyDescent="0.3">
      <c r="A40" t="s">
        <v>45</v>
      </c>
      <c r="B40" t="s">
        <v>26</v>
      </c>
      <c r="F40">
        <v>20000</v>
      </c>
      <c r="G40">
        <v>46944</v>
      </c>
      <c r="H40">
        <v>117902</v>
      </c>
      <c r="I40">
        <v>52432</v>
      </c>
      <c r="J40">
        <v>35678382</v>
      </c>
      <c r="K40">
        <v>20</v>
      </c>
      <c r="L40">
        <v>2347.1999999999998</v>
      </c>
      <c r="M40">
        <v>5895.1</v>
      </c>
      <c r="N40">
        <v>2621.6</v>
      </c>
      <c r="O40">
        <v>1783919.1</v>
      </c>
    </row>
    <row r="41" spans="1:15" x14ac:dyDescent="0.3">
      <c r="A41" t="s">
        <v>43</v>
      </c>
      <c r="B41" t="s">
        <v>26</v>
      </c>
      <c r="F41">
        <v>20000</v>
      </c>
      <c r="G41">
        <v>33642</v>
      </c>
      <c r="H41">
        <v>33684</v>
      </c>
      <c r="I41">
        <v>22013</v>
      </c>
      <c r="J41">
        <v>4520121</v>
      </c>
      <c r="K41">
        <v>20</v>
      </c>
      <c r="L41">
        <v>1682.1</v>
      </c>
      <c r="M41">
        <v>1684.2</v>
      </c>
      <c r="N41">
        <v>1100.6500000000001</v>
      </c>
      <c r="O41">
        <v>226006.05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Main</vt:lpstr>
      <vt:lpstr>DataRBVanilla</vt:lpstr>
      <vt:lpstr>DataFullVisNonOrth</vt:lpstr>
      <vt:lpstr>DataFullVisOrth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Lukas Reuter</dc:creator>
  <cp:lastModifiedBy>Lukas Reuter</cp:lastModifiedBy>
  <dcterms:created xsi:type="dcterms:W3CDTF">2015-06-05T18:19:34Z</dcterms:created>
  <dcterms:modified xsi:type="dcterms:W3CDTF">2023-08-04T22:08:02Z</dcterms:modified>
</cp:coreProperties>
</file>